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計算" sheetId="1" state="visible" r:id="rId1"/>
    <sheet name="設定" sheetId="2" state="visible" r:id="rId2"/>
    <sheet name="記録" sheetId="3" state="visible" r:id="rId3"/>
    <sheet name="説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/m/d h:mm"/>
    <numFmt numFmtId="166" formatCode="0.0"/>
  </numFmts>
  <fonts count="19">
    <font>
      <name val="Calibri"/>
      <family val="2"/>
      <color theme="1"/>
      <sz val="11"/>
      <scheme val="minor"/>
    </font>
    <font>
      <name val="Yu Gothic"/>
      <b val="1"/>
      <color rgb="00B45309"/>
      <sz val="12"/>
    </font>
    <font>
      <name val="Yu Gothic"/>
      <color rgb="008A5A00"/>
      <sz val="9"/>
    </font>
    <font>
      <name val="Yu Gothic"/>
      <b val="1"/>
      <color rgb="00FFFFFF"/>
      <sz val="10"/>
    </font>
    <font>
      <name val="Yu Gothic"/>
      <color rgb="0016202E"/>
      <sz val="11"/>
    </font>
    <font>
      <name val="Yu Gothic"/>
      <color rgb="000000FF"/>
      <sz val="11"/>
    </font>
    <font>
      <name val="Yu Gothic"/>
      <b val="1"/>
      <color rgb="0016202E"/>
      <sz val="11"/>
    </font>
    <font>
      <name val="Yu Gothic"/>
      <b val="1"/>
      <color rgb="00B45309"/>
      <sz val="11"/>
    </font>
    <font>
      <name val="Yu Gothic"/>
      <b val="1"/>
      <color rgb="00FFFFFF"/>
      <sz val="16"/>
    </font>
    <font>
      <name val="Yu Gothic"/>
      <color rgb="0055647C"/>
      <sz val="9"/>
    </font>
    <font>
      <name val="Yu Gothic"/>
      <b val="1"/>
      <color rgb="000A6B4B"/>
      <sz val="12"/>
    </font>
    <font>
      <name val="Yu Gothic"/>
      <b val="1"/>
      <color rgb="008A5A00"/>
      <sz val="11"/>
    </font>
    <font>
      <name val="Yu Gothic"/>
      <color rgb="00B42318"/>
      <sz val="9"/>
    </font>
    <font>
      <name val="Yu Gothic"/>
      <b val="1"/>
      <color rgb="0016202E"/>
      <sz val="14"/>
    </font>
    <font>
      <name val="Yu Gothic"/>
      <color rgb="008A99B0"/>
      <sz val="10"/>
    </font>
    <font>
      <name val="Yu Gothic"/>
      <color rgb="0016202E"/>
      <sz val="10"/>
    </font>
    <font>
      <name val="Yu Gothic"/>
      <b val="1"/>
      <color rgb="001F5FBF"/>
      <sz val="12"/>
    </font>
    <font>
      <name val="Yu Gothic"/>
      <b val="1"/>
      <color rgb="00B42318"/>
      <sz val="12"/>
    </font>
    <font>
      <name val="Yu Gothic"/>
      <color rgb="00B42318"/>
      <sz val="10"/>
    </font>
  </fonts>
  <fills count="6">
    <fill>
      <patternFill/>
    </fill>
    <fill>
      <patternFill patternType="gray125"/>
    </fill>
    <fill>
      <patternFill patternType="solid">
        <fgColor rgb="001F5FBF"/>
      </patternFill>
    </fill>
    <fill>
      <patternFill patternType="solid">
        <fgColor rgb="00FFF6CC"/>
      </patternFill>
    </fill>
    <fill>
      <patternFill patternType="solid">
        <fgColor rgb="00FFF7EA"/>
      </patternFill>
    </fill>
    <fill>
      <patternFill patternType="solid">
        <fgColor rgb="00EAFAF3"/>
      </patternFill>
    </fill>
  </fills>
  <borders count="2">
    <border>
      <left/>
      <right/>
      <top/>
      <bottom/>
      <diagonal/>
    </border>
    <border>
      <left style="thin">
        <color rgb="00CDD8E4"/>
      </left>
      <right style="thin">
        <color rgb="00CDD8E4"/>
      </right>
      <top style="thin">
        <color rgb="00CDD8E4"/>
      </top>
      <bottom style="thin">
        <color rgb="00CDD8E4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8" fillId="2" borderId="0" pivotButton="0" quotePrefix="0" xfId="0"/>
    <xf numFmtId="0" fontId="9" fillId="0" borderId="0" pivotButton="0" quotePrefix="0" xfId="0"/>
    <xf numFmtId="0" fontId="6" fillId="0" borderId="0" pivotButton="0" quotePrefix="0" xfId="0"/>
    <xf numFmtId="0" fontId="5" fillId="3" borderId="1" pivotButton="0" quotePrefix="0" xfId="0"/>
    <xf numFmtId="165" fontId="5" fillId="3" borderId="1" pivotButton="0" quotePrefix="0" xfId="0"/>
    <xf numFmtId="2" fontId="4" fillId="5" borderId="1" pivotButton="0" quotePrefix="0" xfId="0"/>
    <xf numFmtId="0" fontId="10" fillId="5" borderId="1" pivotButton="0" quotePrefix="0" xfId="0"/>
    <xf numFmtId="165" fontId="10" fillId="5" borderId="1" pivotButton="0" quotePrefix="0" xfId="0"/>
    <xf numFmtId="0" fontId="11" fillId="0" borderId="0" pivotButton="0" quotePrefix="0" xfId="0"/>
    <xf numFmtId="0" fontId="4" fillId="0" borderId="0" pivotButton="0" quotePrefix="0" xfId="0"/>
    <xf numFmtId="2" fontId="4" fillId="4" borderId="1" pivotButton="0" quotePrefix="0" xfId="0"/>
    <xf numFmtId="166" fontId="4" fillId="0" borderId="1" pivotButton="0" quotePrefix="0" xfId="0"/>
    <xf numFmtId="0" fontId="12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6" fillId="0" borderId="1" pivotButton="0" quotePrefix="0" xfId="0"/>
    <xf numFmtId="0" fontId="5" fillId="4" borderId="1" pivotButton="0" quotePrefix="0" xfId="0"/>
    <xf numFmtId="0" fontId="7" fillId="0" borderId="0" pivotButton="0" quotePrefix="0" xfId="0"/>
    <xf numFmtId="0" fontId="13" fillId="0" borderId="0" pivotButton="0" quotePrefix="0" xfId="0"/>
    <xf numFmtId="0" fontId="14" fillId="0" borderId="1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27"/>
  <sheetViews>
    <sheetView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20" customWidth="1" min="3" max="3"/>
    <col width="6" customWidth="1" min="4" max="4"/>
  </cols>
  <sheetData>
    <row r="2">
      <c r="B2" s="1" t="inlineStr">
        <is>
          <t>Lu-177 退出可能時間 計算シート</t>
        </is>
      </c>
    </row>
    <row r="3">
      <c r="B3" s="2" t="inlineStr">
        <is>
          <t>黄色のセルに入力すると、退出可能日時を自動計算します。</t>
        </is>
      </c>
    </row>
    <row r="5">
      <c r="B5" s="3" t="inlineStr">
        <is>
          <t>■ 入力</t>
        </is>
      </c>
    </row>
    <row r="6">
      <c r="B6" s="3" t="inlineStr">
        <is>
          <t>患者ID</t>
        </is>
      </c>
      <c r="C6" s="4" t="inlineStr">
        <is>
          <t>（例）P-001</t>
        </is>
      </c>
    </row>
    <row r="7">
      <c r="B7" s="3" t="inlineStr">
        <is>
          <t>薬剤</t>
        </is>
      </c>
      <c r="C7" s="4" t="inlineStr">
        <is>
          <t>ルタテラ</t>
        </is>
      </c>
    </row>
    <row r="8">
      <c r="B8" s="3" t="inlineStr">
        <is>
          <t>投与日時</t>
        </is>
      </c>
      <c r="C8" s="5" t="n">
        <v>46265.41666666666</v>
      </c>
    </row>
    <row r="9">
      <c r="B9" s="3" t="inlineStr">
        <is>
          <t>投与直後の1m線量率 D₀ (μSv/h)</t>
        </is>
      </c>
      <c r="C9" s="4" t="n">
        <v>30</v>
      </c>
    </row>
    <row r="11">
      <c r="B11" s="3" t="inlineStr">
        <is>
          <t>■ 自動参照（設定より）</t>
        </is>
      </c>
    </row>
    <row r="12">
      <c r="B12" s="3" t="inlineStr">
        <is>
          <t>適用しきい値 (μSv/h)</t>
        </is>
      </c>
      <c r="C12">
        <f>IFERROR(INDEX(設定!$C$5:$C$6,MATCH(C7,設定!$B$5:$B$6,0)),"薬剤を選択")</f>
        <v/>
      </c>
    </row>
    <row r="13">
      <c r="B13" s="3" t="inlineStr">
        <is>
          <t>物理半減期 (日)</t>
        </is>
      </c>
      <c r="C13">
        <f>設定!$B$8</f>
        <v/>
      </c>
    </row>
    <row r="15">
      <c r="B15" s="3" t="inlineStr">
        <is>
          <t>■ 退出可能時間（結果）</t>
        </is>
      </c>
    </row>
    <row r="16">
      <c r="B16" s="3" t="inlineStr">
        <is>
          <t>退出可能まで（日数）</t>
        </is>
      </c>
      <c r="C16" s="6">
        <f>IF(OR(C9="",NOT(ISNUMBER(C12))),"",IF(C9&lt;=C12,0,(C13/LN(2))*LN(C9/C12)))</f>
        <v/>
      </c>
    </row>
    <row r="17">
      <c r="B17" s="3" t="inlineStr">
        <is>
          <t>退出可能まで</t>
        </is>
      </c>
      <c r="C17" s="7">
        <f>IF(C16="","",INT(C16)&amp;"日"&amp;ROUND((C16-INT(C16))*24,0)&amp;"時間")</f>
        <v/>
      </c>
    </row>
    <row r="18">
      <c r="B18" s="3" t="inlineStr">
        <is>
          <t>退出可能日時（目安）</t>
        </is>
      </c>
      <c r="C18" s="8">
        <f>IF(OR(C8="",C16=""),"",C8+C16)</f>
        <v/>
      </c>
    </row>
    <row r="19">
      <c r="B19" s="3" t="inlineStr">
        <is>
          <t>判定</t>
        </is>
      </c>
      <c r="C19" s="7">
        <f>IF(C16="","",IF(C16&lt;=0,"即時 退出可","待機が必要"))</f>
        <v/>
      </c>
    </row>
    <row r="21">
      <c r="B21" s="9" t="inlineStr">
        <is>
          <t>【参考】いま退出した場合の積算線量見込み（安全確認用）</t>
        </is>
      </c>
    </row>
    <row r="22">
      <c r="B22" s="10" t="inlineStr">
        <is>
          <t>公衆 (mSv)　※限度は設定の値</t>
        </is>
      </c>
      <c r="C22" s="11">
        <f>IF(ISNUMBER(C9),C9*C13*24/LN(2)*設定!$B$9/1000,"")</f>
        <v/>
      </c>
    </row>
    <row r="23">
      <c r="B23" s="10" t="inlineStr">
        <is>
          <t>介助者 (mSv)　※限度は設定の値</t>
        </is>
      </c>
      <c r="C23" s="11">
        <f>IF(ISNUMBER(C9),C9*C13*24/LN(2)*設定!$B$10/1000,"")</f>
        <v/>
      </c>
    </row>
    <row r="24">
      <c r="B24" s="10" t="inlineStr">
        <is>
          <t>公衆の限度 (mSv)</t>
        </is>
      </c>
      <c r="C24" s="12">
        <f>設定!$B$11</f>
        <v/>
      </c>
    </row>
    <row r="25">
      <c r="B25" s="10" t="inlineStr">
        <is>
          <t>介助者の限度 (mSv)</t>
        </is>
      </c>
      <c r="C25" s="12">
        <f>設定!$B$12</f>
        <v/>
      </c>
    </row>
    <row r="27">
      <c r="B27" s="13" t="inlineStr">
        <is>
          <t>※ 最終的な退出の可否は、法令・退出基準に基づき医師が判断します。本シートは計算補助・記録用です。</t>
        </is>
      </c>
    </row>
  </sheetData>
  <mergeCells count="3">
    <mergeCell ref="B27:D27"/>
    <mergeCell ref="B3:D3"/>
    <mergeCell ref="B2:D2"/>
  </mergeCells>
  <dataValidations count="1">
    <dataValidation sqref="C7" showDropDown="0" showInputMessage="0" showErrorMessage="0" allowBlank="1" type="list">
      <formula1>"プルヴィクト,ルタテラ"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22" customWidth="1" min="3" max="3"/>
    <col width="40" customWidth="1" min="4" max="4"/>
  </cols>
  <sheetData>
    <row r="1">
      <c r="A1" s="14" t="inlineStr">
        <is>
          <t>設定（定数）　※ここは放射線安全管理責任者(RSO)の承認値を入れる欄です</t>
        </is>
      </c>
    </row>
    <row r="2">
      <c r="A2" s="15" t="inlineStr">
        <is>
          <t>この値は現場では変更しないでください。変更が必要な場合はRSOの承認を得てください。</t>
        </is>
      </c>
    </row>
    <row r="4">
      <c r="B4" s="16" t="inlineStr">
        <is>
          <t>薬剤</t>
        </is>
      </c>
      <c r="C4" s="16" t="inlineStr">
        <is>
          <t>退出しきい値 (μSv/h @1m)</t>
        </is>
      </c>
    </row>
    <row r="5">
      <c r="B5" s="17" t="inlineStr">
        <is>
          <t>プルヴィクト</t>
        </is>
      </c>
      <c r="C5" s="4" t="n">
        <v>16</v>
      </c>
    </row>
    <row r="6">
      <c r="B6" s="17" t="inlineStr">
        <is>
          <t>ルタテラ</t>
        </is>
      </c>
      <c r="C6" s="4" t="n">
        <v>18</v>
      </c>
    </row>
    <row r="8">
      <c r="A8" s="18" t="inlineStr">
        <is>
          <t>物理半減期 (日)  Lu-177</t>
        </is>
      </c>
      <c r="B8" s="4" t="n">
        <v>6.647</v>
      </c>
      <c r="D8" s="15" t="inlineStr">
        <is>
          <t>Lu-177の物理的半減期</t>
        </is>
      </c>
    </row>
    <row r="9">
      <c r="A9" s="18" t="inlineStr">
        <is>
          <t>占有係数 E（公衆）</t>
        </is>
      </c>
      <c r="B9" s="4" t="n">
        <v>0.25</v>
      </c>
      <c r="D9" s="15" t="inlineStr">
        <is>
          <t>しきい値16/18から逆算すると約0.25。要RSO確認</t>
        </is>
      </c>
    </row>
    <row r="10">
      <c r="A10" s="18" t="inlineStr">
        <is>
          <t>占有係数 E（介助者）</t>
        </is>
      </c>
      <c r="B10" s="19" t="n">
        <v>0.5</v>
      </c>
      <c r="D10" s="15" t="inlineStr">
        <is>
          <t>★要RSO確認（暫定値）</t>
        </is>
      </c>
    </row>
    <row r="11">
      <c r="A11" s="18" t="inlineStr">
        <is>
          <t>線量限度（公衆） mSv</t>
        </is>
      </c>
      <c r="B11" s="4" t="n">
        <v>1</v>
      </c>
      <c r="D11" s="15" t="inlineStr">
        <is>
          <t>公衆の線量拘束値</t>
        </is>
      </c>
    </row>
    <row r="12">
      <c r="A12" s="18" t="inlineStr">
        <is>
          <t>線量限度（介助者） mSv</t>
        </is>
      </c>
      <c r="B12" s="4" t="n">
        <v>5</v>
      </c>
      <c r="D12" s="15" t="inlineStr">
        <is>
          <t>介助者の線量拘束値</t>
        </is>
      </c>
    </row>
    <row r="14">
      <c r="A14" s="20" t="inlineStr">
        <is>
          <t>RSO承認：氏名〔　　　　　　〕　承認日〔　　年　　月　　日〕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1" customWidth="1" min="5" max="5"/>
    <col width="10" customWidth="1" min="6" max="6"/>
    <col width="16" customWidth="1" min="7" max="7"/>
    <col width="10" customWidth="1" min="8" max="8"/>
    <col width="20" customWidth="1" min="9" max="9"/>
  </cols>
  <sheetData>
    <row r="1">
      <c r="A1" s="21" t="inlineStr">
        <is>
          <t>退出時間 計算記録</t>
        </is>
      </c>
    </row>
    <row r="3">
      <c r="A3" s="16" t="inlineStr">
        <is>
          <t>計算日</t>
        </is>
      </c>
      <c r="B3" s="16" t="inlineStr">
        <is>
          <t>患者ID</t>
        </is>
      </c>
      <c r="C3" s="16" t="inlineStr">
        <is>
          <t>薬剤</t>
        </is>
      </c>
      <c r="D3" s="16" t="inlineStr">
        <is>
          <t>投与日時</t>
        </is>
      </c>
      <c r="E3" s="16" t="inlineStr">
        <is>
          <t>D₀(μSv/h)</t>
        </is>
      </c>
      <c r="F3" s="16" t="inlineStr">
        <is>
          <t>しきい値</t>
        </is>
      </c>
      <c r="G3" s="16" t="inlineStr">
        <is>
          <t>退出可能日時</t>
        </is>
      </c>
      <c r="H3" s="16" t="inlineStr">
        <is>
          <t>記録者</t>
        </is>
      </c>
      <c r="I3" s="16" t="inlineStr">
        <is>
          <t>備考</t>
        </is>
      </c>
    </row>
    <row r="4">
      <c r="A4" s="22" t="inlineStr">
        <is>
          <t>2026/8/31</t>
        </is>
      </c>
      <c r="B4" s="22" t="inlineStr">
        <is>
          <t>（例）P-001</t>
        </is>
      </c>
      <c r="C4" s="22" t="inlineStr">
        <is>
          <t>ルタテラ</t>
        </is>
      </c>
      <c r="D4" s="22" t="inlineStr">
        <is>
          <t>2026/8/31 10:00</t>
        </is>
      </c>
      <c r="E4" s="22" t="n">
        <v>30</v>
      </c>
      <c r="F4" s="22" t="n">
        <v>18</v>
      </c>
      <c r="G4" s="22" t="inlineStr">
        <is>
          <t>2026/9/5 ごろ</t>
        </is>
      </c>
      <c r="H4" s="22" t="inlineStr">
        <is>
          <t>新留</t>
        </is>
      </c>
      <c r="I4" s="22" t="inlineStr">
        <is>
          <t>投与直後測定</t>
        </is>
      </c>
    </row>
    <row r="6">
      <c r="A6" s="2" t="inlineStr">
        <is>
          <t>※ 計算シートの結果を、この表に手入力で記録していきます（例の行は削除して使ってください）。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1" t="inlineStr">
        <is>
          <t>Lu-177 退出可能時間 計算シート ― 説明</t>
        </is>
      </c>
    </row>
    <row r="2">
      <c r="A2" s="23" t="inlineStr"/>
    </row>
    <row r="3">
      <c r="A3" s="24" t="inlineStr">
        <is>
          <t>【目的】</t>
        </is>
      </c>
    </row>
    <row r="4">
      <c r="A4" s="23" t="inlineStr">
        <is>
          <t>投与直後に測定した体表面から1mの線量率(D₀)から、線量率が退出しきい値まで下がる日時を計算します。</t>
        </is>
      </c>
    </row>
    <row r="5">
      <c r="A5" s="23" t="inlineStr"/>
    </row>
    <row r="6">
      <c r="A6" s="24" t="inlineStr">
        <is>
          <t>【計算式】</t>
        </is>
      </c>
    </row>
    <row r="7">
      <c r="A7" s="23" t="inlineStr">
        <is>
          <t>退出可能まで（日）＝ (物理半減期 ÷ ln2) × ln( D₀ ÷ しきい値 )　　※ D₀がしきい値以下なら即時退出可</t>
        </is>
      </c>
    </row>
    <row r="8">
      <c r="A8" s="23" t="inlineStr">
        <is>
          <t>退出可能日時 ＝ 投与日時 ＋ 退出可能まで（日）</t>
        </is>
      </c>
    </row>
    <row r="9">
      <c r="A9" s="23" t="inlineStr"/>
    </row>
    <row r="10">
      <c r="A10" s="24" t="inlineStr">
        <is>
          <t>【定数の根拠（要RSO承認）】</t>
        </is>
      </c>
    </row>
    <row r="11">
      <c r="A11" s="23" t="inlineStr">
        <is>
          <t>・退出しきい値：プルヴィクト 16 μSv/h、ルタテラ 18 μSv/h（薬剤ごと・統一しない）</t>
        </is>
      </c>
    </row>
    <row r="12">
      <c r="A12" s="23" t="inlineStr">
        <is>
          <t>・物理半減期：Lu-177 = 6.647 日（実効半減期は使用しない）</t>
        </is>
      </c>
    </row>
    <row r="13">
      <c r="A13" s="23" t="inlineStr">
        <is>
          <t>・占有係数E（公衆 約0.25）はしきい値からの逆算値。介助者Eは暫定値でRSO確認が必要。</t>
        </is>
      </c>
    </row>
    <row r="14">
      <c r="A14" s="23" t="inlineStr">
        <is>
          <t>・積算線量見込みは安全確認の参考値です（公衆1mSv・介助者5mSvと比較）。</t>
        </is>
      </c>
    </row>
    <row r="15">
      <c r="A15" s="23" t="inlineStr"/>
    </row>
    <row r="16">
      <c r="A16" s="25" t="inlineStr">
        <is>
          <t>【重要】</t>
        </is>
      </c>
    </row>
    <row r="17">
      <c r="A17" s="26" t="inlineStr">
        <is>
          <t>最終的な退出の可否は、関係法令・退出基準に基づき医師が判断します。本シートは計算補助・記録用です。</t>
        </is>
      </c>
    </row>
    <row r="18">
      <c r="A18" s="23" t="inlineStr">
        <is>
          <t>測定は投与直後の1回（体表面から1m）を初期値とします。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2026-08-31T02:52:51Z</dcterms:created>
  <dcterms:modified xsi:type="dcterms:W3CDTF">2026-08-31T02:52:51Z</dcterms:modified>
</cp:coreProperties>
</file>