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予定作成" sheetId="1" state="visible" r:id="rId1"/>
    <sheet name="治療予定" sheetId="2" state="visible" r:id="rId2"/>
    <sheet name="設定" sheetId="3" state="visible" r:id="rId3"/>
    <sheet name="使い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/d"/>
    <numFmt numFmtId="166" formatCode="yyyy/m/d h:mm"/>
  </numFmts>
  <fonts count="15">
    <font>
      <name val="Calibri"/>
      <family val="2"/>
      <color theme="1"/>
      <sz val="11"/>
      <scheme val="minor"/>
    </font>
    <font>
      <name val="Yu Gothic"/>
      <b val="1"/>
      <color rgb="001F5FBF"/>
      <sz val="13"/>
    </font>
    <font>
      <name val="Yu Gothic"/>
      <b val="1"/>
      <color rgb="00FFFFFF"/>
      <sz val="10"/>
    </font>
    <font>
      <name val="Yu Gothic"/>
      <color rgb="0016202E"/>
      <sz val="11"/>
    </font>
    <font>
      <name val="Yu Gothic"/>
      <color rgb="000000FF"/>
      <sz val="11"/>
    </font>
    <font>
      <name val="Yu Gothic"/>
      <color rgb="0055647C"/>
      <sz val="9"/>
    </font>
    <font>
      <name val="Yu Gothic"/>
      <color rgb="0016202E"/>
      <sz val="10"/>
    </font>
    <font>
      <name val="Yu Gothic"/>
      <color rgb="008A5A00"/>
      <sz val="9"/>
    </font>
    <font>
      <name val="Yu Gothic"/>
      <b val="1"/>
      <color rgb="00FFFFFF"/>
      <sz val="16"/>
    </font>
    <font>
      <name val="Yu Gothic"/>
      <b val="1"/>
      <color rgb="0016202E"/>
      <sz val="11"/>
    </font>
    <font>
      <name val="Yu Gothic"/>
      <color rgb="008A99B0"/>
      <sz val="10"/>
    </font>
    <font>
      <name val="Yu Gothic"/>
      <b val="1"/>
      <color rgb="0016202E"/>
      <sz val="14"/>
    </font>
    <font>
      <name val="Yu Gothic"/>
      <b val="1"/>
      <color rgb="001F5FBF"/>
      <sz val="12"/>
    </font>
    <font>
      <name val="Yu Gothic"/>
      <b val="1"/>
      <color rgb="00B42318"/>
      <sz val="12"/>
    </font>
    <font>
      <name val="Yu Gothic"/>
      <color rgb="00B42318"/>
      <sz val="10"/>
    </font>
  </fonts>
  <fills count="6">
    <fill>
      <patternFill/>
    </fill>
    <fill>
      <patternFill patternType="gray125"/>
    </fill>
    <fill>
      <patternFill patternType="solid">
        <fgColor rgb="001F5FBF"/>
      </patternFill>
    </fill>
    <fill>
      <patternFill patternType="solid">
        <fgColor rgb="00FFF6CC"/>
      </patternFill>
    </fill>
    <fill>
      <patternFill patternType="solid">
        <fgColor rgb="00EEF3F9"/>
      </patternFill>
    </fill>
    <fill>
      <patternFill patternType="solid">
        <fgColor rgb="00EAFAF3"/>
      </patternFill>
    </fill>
  </fills>
  <borders count="2">
    <border>
      <left/>
      <right/>
      <top/>
      <bottom/>
      <diagonal/>
    </border>
    <border>
      <left style="thin">
        <color rgb="00CDD8E4"/>
      </left>
      <right style="thin">
        <color rgb="00CDD8E4"/>
      </right>
      <top style="thin">
        <color rgb="00CDD8E4"/>
      </top>
      <bottom style="thin">
        <color rgb="00CDD8E4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8" fillId="2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4" fillId="3" borderId="1" pivotButton="0" quotePrefix="0" xfId="0"/>
    <xf numFmtId="165" fontId="4" fillId="3" borderId="1" pivotButton="0" quotePrefix="0" xfId="0"/>
    <xf numFmtId="0" fontId="3" fillId="4" borderId="1" pivotButton="0" quotePrefix="0" xfId="0"/>
    <xf numFmtId="0" fontId="2" fillId="2" borderId="1" applyAlignment="1" pivotButton="0" quotePrefix="0" xfId="0">
      <alignment wrapText="1"/>
    </xf>
    <xf numFmtId="0" fontId="9" fillId="0" borderId="1" pivotButton="0" quotePrefix="0" xfId="0"/>
    <xf numFmtId="165" fontId="3" fillId="5" borderId="1" pivotButton="0" quotePrefix="0" xfId="0"/>
    <xf numFmtId="166" fontId="3" fillId="5" borderId="1" pivotButton="0" quotePrefix="0" xfId="0"/>
    <xf numFmtId="0" fontId="1" fillId="0" borderId="0" pivotButton="0" quotePrefix="0" xfId="0"/>
    <xf numFmtId="0" fontId="10" fillId="3" borderId="1" pivotButton="0" quotePrefix="0" xfId="0"/>
    <xf numFmtId="165" fontId="10" fillId="3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6" fillId="0" borderId="1" pivotButton="0" quotePrefix="0" xfId="0"/>
    <xf numFmtId="0" fontId="10" fillId="0" borderId="1" pivotButton="0" quotePrefix="0" xfId="0"/>
    <xf numFmtId="165" fontId="10" fillId="0" borderId="1" pivotButton="0" quotePrefix="0" xfId="0"/>
    <xf numFmtId="0" fontId="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治療予定の作成（1患者ずつ）</t>
        </is>
      </c>
    </row>
    <row r="3">
      <c r="B3" s="2" t="inlineStr">
        <is>
          <t>黄色セルに入力すると、全サイクルの治療日・入院日・退院日・発注締切を自動計算します。</t>
        </is>
      </c>
    </row>
    <row r="5">
      <c r="B5" s="3" t="inlineStr">
        <is>
          <t>患者ID</t>
        </is>
      </c>
      <c r="C5" s="4" t="inlineStr">
        <is>
          <t>（例）P-001</t>
        </is>
      </c>
    </row>
    <row r="6">
      <c r="B6" s="3" t="inlineStr">
        <is>
          <t>患者名（任意）</t>
        </is>
      </c>
      <c r="C6" s="4" t="inlineStr">
        <is>
          <t>（例）山田 太郎</t>
        </is>
      </c>
    </row>
    <row r="7">
      <c r="B7" s="3" t="inlineStr">
        <is>
          <t>薬剤</t>
        </is>
      </c>
      <c r="C7" s="4" t="inlineStr">
        <is>
          <t>ルタテラ</t>
        </is>
      </c>
    </row>
    <row r="8">
      <c r="B8" s="3" t="inlineStr">
        <is>
          <t>第1サイクルの治療日</t>
        </is>
      </c>
      <c r="C8" s="5" t="n">
        <v>46266</v>
      </c>
    </row>
    <row r="9">
      <c r="B9" s="3" t="inlineStr">
        <is>
          <t>予定サイクル数</t>
        </is>
      </c>
      <c r="C9" s="4" t="n">
        <v>4</v>
      </c>
    </row>
    <row r="10">
      <c r="B10" s="3" t="inlineStr">
        <is>
          <t>治療間隔（日・自動）</t>
        </is>
      </c>
      <c r="C10" s="6">
        <f>IFERROR(INDEX(設定!$C$4:$C$5,MATCH(C7,設定!$B$4:$B$5,0)),"薬剤を選択")</f>
        <v/>
      </c>
    </row>
    <row r="12">
      <c r="B12" s="7" t="inlineStr">
        <is>
          <t>サイクル</t>
        </is>
      </c>
      <c r="C12" s="7" t="inlineStr">
        <is>
          <t>治療日</t>
        </is>
      </c>
      <c r="D12" s="7" t="inlineStr">
        <is>
          <t>入院日(前営業日)</t>
        </is>
      </c>
      <c r="E12" s="7" t="inlineStr">
        <is>
          <t>退院日(翌日)</t>
        </is>
      </c>
      <c r="F12" s="7" t="inlineStr">
        <is>
          <t>発注締切(2週前の月17時)</t>
        </is>
      </c>
    </row>
    <row r="13">
      <c r="B13" s="8" t="n">
        <v>1</v>
      </c>
      <c r="C13" s="9">
        <f>IF($C$9&gt;=1,$C$8+$C$10*(1-1),"")</f>
        <v/>
      </c>
      <c r="D13" s="9">
        <f>IF(C13="","",WORKDAY(C13,-1,設定!$E$4:$E$40))</f>
        <v/>
      </c>
      <c r="E13" s="9">
        <f>IF(C13="","",C13+1)</f>
        <v/>
      </c>
      <c r="F13" s="10">
        <f>IF(C13="","",(C13-(WEEKDAY(C13,2)-1)-14)+17/24)</f>
        <v/>
      </c>
    </row>
    <row r="14">
      <c r="B14" s="8" t="n">
        <v>2</v>
      </c>
      <c r="C14" s="9">
        <f>IF($C$9&gt;=2,$C$8+$C$10*(2-1),"")</f>
        <v/>
      </c>
      <c r="D14" s="9">
        <f>IF(C14="","",WORKDAY(C14,-1,設定!$E$4:$E$40))</f>
        <v/>
      </c>
      <c r="E14" s="9">
        <f>IF(C14="","",C14+1)</f>
        <v/>
      </c>
      <c r="F14" s="10">
        <f>IF(C14="","",(C14-(WEEKDAY(C14,2)-1)-14)+17/24)</f>
        <v/>
      </c>
    </row>
    <row r="15">
      <c r="B15" s="8" t="n">
        <v>3</v>
      </c>
      <c r="C15" s="9">
        <f>IF($C$9&gt;=3,$C$8+$C$10*(3-1),"")</f>
        <v/>
      </c>
      <c r="D15" s="9">
        <f>IF(C15="","",WORKDAY(C15,-1,設定!$E$4:$E$40))</f>
        <v/>
      </c>
      <c r="E15" s="9">
        <f>IF(C15="","",C15+1)</f>
        <v/>
      </c>
      <c r="F15" s="10">
        <f>IF(C15="","",(C15-(WEEKDAY(C15,2)-1)-14)+17/24)</f>
        <v/>
      </c>
    </row>
    <row r="16">
      <c r="B16" s="8" t="n">
        <v>4</v>
      </c>
      <c r="C16" s="9">
        <f>IF($C$9&gt;=4,$C$8+$C$10*(4-1),"")</f>
        <v/>
      </c>
      <c r="D16" s="9">
        <f>IF(C16="","",WORKDAY(C16,-1,設定!$E$4:$E$40))</f>
        <v/>
      </c>
      <c r="E16" s="9">
        <f>IF(C16="","",C16+1)</f>
        <v/>
      </c>
      <c r="F16" s="10">
        <f>IF(C16="","",(C16-(WEEKDAY(C16,2)-1)-14)+17/24)</f>
        <v/>
      </c>
    </row>
    <row r="17">
      <c r="B17" s="8" t="n">
        <v>5</v>
      </c>
      <c r="C17" s="9">
        <f>IF($C$9&gt;=5,$C$8+$C$10*(5-1),"")</f>
        <v/>
      </c>
      <c r="D17" s="9">
        <f>IF(C17="","",WORKDAY(C17,-1,設定!$E$4:$E$40))</f>
        <v/>
      </c>
      <c r="E17" s="9">
        <f>IF(C17="","",C17+1)</f>
        <v/>
      </c>
      <c r="F17" s="10">
        <f>IF(C17="","",(C17-(WEEKDAY(C17,2)-1)-14)+17/24)</f>
        <v/>
      </c>
    </row>
    <row r="18">
      <c r="B18" s="8" t="n">
        <v>6</v>
      </c>
      <c r="C18" s="9">
        <f>IF($C$9&gt;=6,$C$8+$C$10*(6-1),"")</f>
        <v/>
      </c>
      <c r="D18" s="9">
        <f>IF(C18="","",WORKDAY(C18,-1,設定!$E$4:$E$40))</f>
        <v/>
      </c>
      <c r="E18" s="9">
        <f>IF(C18="","",C18+1)</f>
        <v/>
      </c>
      <c r="F18" s="10">
        <f>IF(C18="","",(C18-(WEEKDAY(C18,2)-1)-14)+17/24)</f>
        <v/>
      </c>
    </row>
    <row r="20">
      <c r="B20" s="2" t="inlineStr">
        <is>
          <t>※ 上の結果を「治療予定」シートへ転記して全患者を一覧管理します（重複は自動で色が付きます）。</t>
        </is>
      </c>
    </row>
  </sheetData>
  <mergeCells count="3">
    <mergeCell ref="B2:F2"/>
    <mergeCell ref="B20:F20"/>
    <mergeCell ref="B3:F3"/>
  </mergeCells>
  <dataValidations count="1">
    <dataValidation sqref="C7" showDropDown="0" showInputMessage="0" showErrorMessage="0" allowBlank="1" type="list">
      <formula1>"プルヴィクト,ルタテラ"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9" customWidth="1" min="4" max="4"/>
    <col width="13" customWidth="1" min="5" max="5"/>
    <col width="13" customWidth="1" min="6" max="6"/>
    <col width="13" customWidth="1" min="7" max="7"/>
    <col width="17" customWidth="1" min="8" max="8"/>
    <col width="13" customWidth="1" min="9" max="9"/>
    <col width="11" customWidth="1" min="10" max="10"/>
  </cols>
  <sheetData>
    <row r="1">
      <c r="A1" s="11" t="inlineStr">
        <is>
          <t>治療予定（全患者一覧）　※同じ週に2件以上あると赤く表示されます</t>
        </is>
      </c>
    </row>
    <row r="3">
      <c r="A3" s="7" t="inlineStr">
        <is>
          <t>患者ID</t>
        </is>
      </c>
      <c r="B3" s="7" t="inlineStr">
        <is>
          <t>患者名</t>
        </is>
      </c>
      <c r="C3" s="7" t="inlineStr">
        <is>
          <t>薬剤</t>
        </is>
      </c>
      <c r="D3" s="7" t="inlineStr">
        <is>
          <t>サイクル</t>
        </is>
      </c>
      <c r="E3" s="7" t="inlineStr">
        <is>
          <t>治療日</t>
        </is>
      </c>
      <c r="F3" s="7" t="inlineStr">
        <is>
          <t>入院日</t>
        </is>
      </c>
      <c r="G3" s="7" t="inlineStr">
        <is>
          <t>退院日</t>
        </is>
      </c>
      <c r="H3" s="7" t="inlineStr">
        <is>
          <t>発注締切</t>
        </is>
      </c>
      <c r="I3" s="7" t="inlineStr">
        <is>
          <t>治療週(月)</t>
        </is>
      </c>
      <c r="J3" s="7" t="inlineStr">
        <is>
          <t>同週の件数</t>
        </is>
      </c>
    </row>
    <row r="4">
      <c r="A4" s="12" t="inlineStr">
        <is>
          <t>（例）P-001</t>
        </is>
      </c>
      <c r="B4" s="12" t="inlineStr">
        <is>
          <t>（例）山田</t>
        </is>
      </c>
      <c r="C4" s="12" t="inlineStr">
        <is>
          <t>ルタテラ</t>
        </is>
      </c>
      <c r="D4" s="12" t="n">
        <v>1</v>
      </c>
      <c r="E4" s="13" t="n">
        <v>46266</v>
      </c>
      <c r="F4" s="14">
        <f>IF($E4="","",WORKDAY($E4,-1,設定!$E$4:$E$40))</f>
        <v/>
      </c>
      <c r="G4" s="14">
        <f>IF($E4="","",$E4+1)</f>
        <v/>
      </c>
      <c r="H4" s="15">
        <f>IF($E4="","",($E4-(WEEKDAY($E4,2)-1)-14)+17/24)</f>
        <v/>
      </c>
      <c r="I4" s="14">
        <f>IF($E4="","",$E4-(WEEKDAY($E4,2)-1))</f>
        <v/>
      </c>
      <c r="J4" s="16">
        <f>IF($E4="","",COUNTIF($I$4:$I$203,$I4))</f>
        <v/>
      </c>
    </row>
    <row r="5">
      <c r="A5" s="12" t="inlineStr">
        <is>
          <t>（例）P-001</t>
        </is>
      </c>
      <c r="B5" s="12" t="inlineStr">
        <is>
          <t>（例）山田</t>
        </is>
      </c>
      <c r="C5" s="12" t="inlineStr">
        <is>
          <t>ルタテラ</t>
        </is>
      </c>
      <c r="D5" s="12" t="n">
        <v>2</v>
      </c>
      <c r="E5" s="13" t="n">
        <v>46322</v>
      </c>
      <c r="F5" s="14">
        <f>IF($E5="","",WORKDAY($E5,-1,設定!$E$4:$E$40))</f>
        <v/>
      </c>
      <c r="G5" s="14">
        <f>IF($E5="","",$E5+1)</f>
        <v/>
      </c>
      <c r="H5" s="15">
        <f>IF($E5="","",($E5-(WEEKDAY($E5,2)-1)-14)+17/24)</f>
        <v/>
      </c>
      <c r="I5" s="14">
        <f>IF($E5="","",$E5-(WEEKDAY($E5,2)-1))</f>
        <v/>
      </c>
      <c r="J5" s="16">
        <f>IF($E5="","",COUNTIF($I$4:$I$203,$I5))</f>
        <v/>
      </c>
    </row>
    <row r="6">
      <c r="A6" s="17" t="inlineStr">
        <is>
          <t>（例）P-002</t>
        </is>
      </c>
      <c r="B6" s="17" t="inlineStr">
        <is>
          <t>（例）佐藤</t>
        </is>
      </c>
      <c r="C6" s="17" t="inlineStr">
        <is>
          <t>プルヴィクト</t>
        </is>
      </c>
      <c r="D6" s="17" t="n">
        <v>1</v>
      </c>
      <c r="E6" s="18" t="n">
        <v>46273</v>
      </c>
      <c r="F6" s="14">
        <f>IF($E6="","",WORKDAY($E6,-1,設定!$E$4:$E$40))</f>
        <v/>
      </c>
      <c r="G6" s="14">
        <f>IF($E6="","",$E6+1)</f>
        <v/>
      </c>
      <c r="H6" s="15">
        <f>IF($E6="","",($E6-(WEEKDAY($E6,2)-1)-14)+17/24)</f>
        <v/>
      </c>
      <c r="I6" s="14">
        <f>IF($E6="","",$E6-(WEEKDAY($E6,2)-1))</f>
        <v/>
      </c>
      <c r="J6" s="16">
        <f>IF($E6="","",COUNTIF($I$4:$I$203,$I6))</f>
        <v/>
      </c>
    </row>
    <row r="7">
      <c r="A7" s="16" t="n"/>
      <c r="B7" s="16" t="n"/>
      <c r="C7" s="16" t="n"/>
      <c r="D7" s="16" t="n"/>
      <c r="E7" s="14" t="n"/>
      <c r="F7" s="14">
        <f>IF($E7="","",WORKDAY($E7,-1,設定!$E$4:$E$40))</f>
        <v/>
      </c>
      <c r="G7" s="14">
        <f>IF($E7="","",$E7+1)</f>
        <v/>
      </c>
      <c r="H7" s="15">
        <f>IF($E7="","",($E7-(WEEKDAY($E7,2)-1)-14)+17/24)</f>
        <v/>
      </c>
      <c r="I7" s="14">
        <f>IF($E7="","",$E7-(WEEKDAY($E7,2)-1))</f>
        <v/>
      </c>
      <c r="J7" s="16">
        <f>IF($E7="","",COUNTIF($I$4:$I$203,$I7))</f>
        <v/>
      </c>
    </row>
    <row r="8">
      <c r="A8" s="16" t="n"/>
      <c r="B8" s="16" t="n"/>
      <c r="C8" s="16" t="n"/>
      <c r="D8" s="16" t="n"/>
      <c r="E8" s="14" t="n"/>
      <c r="F8" s="14">
        <f>IF($E8="","",WORKDAY($E8,-1,設定!$E$4:$E$40))</f>
        <v/>
      </c>
      <c r="G8" s="14">
        <f>IF($E8="","",$E8+1)</f>
        <v/>
      </c>
      <c r="H8" s="15">
        <f>IF($E8="","",($E8-(WEEKDAY($E8,2)-1)-14)+17/24)</f>
        <v/>
      </c>
      <c r="I8" s="14">
        <f>IF($E8="","",$E8-(WEEKDAY($E8,2)-1))</f>
        <v/>
      </c>
      <c r="J8" s="16">
        <f>IF($E8="","",COUNTIF($I$4:$I$203,$I8))</f>
        <v/>
      </c>
    </row>
    <row r="9">
      <c r="A9" s="16" t="n"/>
      <c r="B9" s="16" t="n"/>
      <c r="C9" s="16" t="n"/>
      <c r="D9" s="16" t="n"/>
      <c r="E9" s="14" t="n"/>
      <c r="F9" s="14">
        <f>IF($E9="","",WORKDAY($E9,-1,設定!$E$4:$E$40))</f>
        <v/>
      </c>
      <c r="G9" s="14">
        <f>IF($E9="","",$E9+1)</f>
        <v/>
      </c>
      <c r="H9" s="15">
        <f>IF($E9="","",($E9-(WEEKDAY($E9,2)-1)-14)+17/24)</f>
        <v/>
      </c>
      <c r="I9" s="14">
        <f>IF($E9="","",$E9-(WEEKDAY($E9,2)-1))</f>
        <v/>
      </c>
      <c r="J9" s="16">
        <f>IF($E9="","",COUNTIF($I$4:$I$203,$I9))</f>
        <v/>
      </c>
    </row>
    <row r="10">
      <c r="A10" s="16" t="n"/>
      <c r="B10" s="16" t="n"/>
      <c r="C10" s="16" t="n"/>
      <c r="D10" s="16" t="n"/>
      <c r="E10" s="14" t="n"/>
      <c r="F10" s="14">
        <f>IF($E10="","",WORKDAY($E10,-1,設定!$E$4:$E$40))</f>
        <v/>
      </c>
      <c r="G10" s="14">
        <f>IF($E10="","",$E10+1)</f>
        <v/>
      </c>
      <c r="H10" s="15">
        <f>IF($E10="","",($E10-(WEEKDAY($E10,2)-1)-14)+17/24)</f>
        <v/>
      </c>
      <c r="I10" s="14">
        <f>IF($E10="","",$E10-(WEEKDAY($E10,2)-1))</f>
        <v/>
      </c>
      <c r="J10" s="16">
        <f>IF($E10="","",COUNTIF($I$4:$I$203,$I10))</f>
        <v/>
      </c>
    </row>
    <row r="11">
      <c r="A11" s="16" t="n"/>
      <c r="B11" s="16" t="n"/>
      <c r="C11" s="16" t="n"/>
      <c r="D11" s="16" t="n"/>
      <c r="E11" s="14" t="n"/>
      <c r="F11" s="14">
        <f>IF($E11="","",WORKDAY($E11,-1,設定!$E$4:$E$40))</f>
        <v/>
      </c>
      <c r="G11" s="14">
        <f>IF($E11="","",$E11+1)</f>
        <v/>
      </c>
      <c r="H11" s="15">
        <f>IF($E11="","",($E11-(WEEKDAY($E11,2)-1)-14)+17/24)</f>
        <v/>
      </c>
      <c r="I11" s="14">
        <f>IF($E11="","",$E11-(WEEKDAY($E11,2)-1))</f>
        <v/>
      </c>
      <c r="J11" s="16">
        <f>IF($E11="","",COUNTIF($I$4:$I$203,$I11))</f>
        <v/>
      </c>
    </row>
    <row r="12">
      <c r="A12" s="16" t="n"/>
      <c r="B12" s="16" t="n"/>
      <c r="C12" s="16" t="n"/>
      <c r="D12" s="16" t="n"/>
      <c r="E12" s="14" t="n"/>
      <c r="F12" s="14">
        <f>IF($E12="","",WORKDAY($E12,-1,設定!$E$4:$E$40))</f>
        <v/>
      </c>
      <c r="G12" s="14">
        <f>IF($E12="","",$E12+1)</f>
        <v/>
      </c>
      <c r="H12" s="15">
        <f>IF($E12="","",($E12-(WEEKDAY($E12,2)-1)-14)+17/24)</f>
        <v/>
      </c>
      <c r="I12" s="14">
        <f>IF($E12="","",$E12-(WEEKDAY($E12,2)-1))</f>
        <v/>
      </c>
      <c r="J12" s="16">
        <f>IF($E12="","",COUNTIF($I$4:$I$203,$I12))</f>
        <v/>
      </c>
    </row>
    <row r="13">
      <c r="A13" s="16" t="n"/>
      <c r="B13" s="16" t="n"/>
      <c r="C13" s="16" t="n"/>
      <c r="D13" s="16" t="n"/>
      <c r="E13" s="14" t="n"/>
      <c r="F13" s="14">
        <f>IF($E13="","",WORKDAY($E13,-1,設定!$E$4:$E$40))</f>
        <v/>
      </c>
      <c r="G13" s="14">
        <f>IF($E13="","",$E13+1)</f>
        <v/>
      </c>
      <c r="H13" s="15">
        <f>IF($E13="","",($E13-(WEEKDAY($E13,2)-1)-14)+17/24)</f>
        <v/>
      </c>
      <c r="I13" s="14">
        <f>IF($E13="","",$E13-(WEEKDAY($E13,2)-1))</f>
        <v/>
      </c>
      <c r="J13" s="16">
        <f>IF($E13="","",COUNTIF($I$4:$I$203,$I13))</f>
        <v/>
      </c>
    </row>
    <row r="14">
      <c r="A14" s="16" t="n"/>
      <c r="B14" s="16" t="n"/>
      <c r="C14" s="16" t="n"/>
      <c r="D14" s="16" t="n"/>
      <c r="E14" s="14" t="n"/>
      <c r="F14" s="14">
        <f>IF($E14="","",WORKDAY($E14,-1,設定!$E$4:$E$40))</f>
        <v/>
      </c>
      <c r="G14" s="14">
        <f>IF($E14="","",$E14+1)</f>
        <v/>
      </c>
      <c r="H14" s="15">
        <f>IF($E14="","",($E14-(WEEKDAY($E14,2)-1)-14)+17/24)</f>
        <v/>
      </c>
      <c r="I14" s="14">
        <f>IF($E14="","",$E14-(WEEKDAY($E14,2)-1))</f>
        <v/>
      </c>
      <c r="J14" s="16">
        <f>IF($E14="","",COUNTIF($I$4:$I$203,$I14))</f>
        <v/>
      </c>
    </row>
    <row r="15">
      <c r="A15" s="16" t="n"/>
      <c r="B15" s="16" t="n"/>
      <c r="C15" s="16" t="n"/>
      <c r="D15" s="16" t="n"/>
      <c r="E15" s="14" t="n"/>
      <c r="F15" s="14">
        <f>IF($E15="","",WORKDAY($E15,-1,設定!$E$4:$E$40))</f>
        <v/>
      </c>
      <c r="G15" s="14">
        <f>IF($E15="","",$E15+1)</f>
        <v/>
      </c>
      <c r="H15" s="15">
        <f>IF($E15="","",($E15-(WEEKDAY($E15,2)-1)-14)+17/24)</f>
        <v/>
      </c>
      <c r="I15" s="14">
        <f>IF($E15="","",$E15-(WEEKDAY($E15,2)-1))</f>
        <v/>
      </c>
      <c r="J15" s="16">
        <f>IF($E15="","",COUNTIF($I$4:$I$203,$I15))</f>
        <v/>
      </c>
    </row>
    <row r="16">
      <c r="A16" s="16" t="n"/>
      <c r="B16" s="16" t="n"/>
      <c r="C16" s="16" t="n"/>
      <c r="D16" s="16" t="n"/>
      <c r="E16" s="14" t="n"/>
      <c r="F16" s="14">
        <f>IF($E16="","",WORKDAY($E16,-1,設定!$E$4:$E$40))</f>
        <v/>
      </c>
      <c r="G16" s="14">
        <f>IF($E16="","",$E16+1)</f>
        <v/>
      </c>
      <c r="H16" s="15">
        <f>IF($E16="","",($E16-(WEEKDAY($E16,2)-1)-14)+17/24)</f>
        <v/>
      </c>
      <c r="I16" s="14">
        <f>IF($E16="","",$E16-(WEEKDAY($E16,2)-1))</f>
        <v/>
      </c>
      <c r="J16" s="16">
        <f>IF($E16="","",COUNTIF($I$4:$I$203,$I16))</f>
        <v/>
      </c>
    </row>
    <row r="17">
      <c r="A17" s="16" t="n"/>
      <c r="B17" s="16" t="n"/>
      <c r="C17" s="16" t="n"/>
      <c r="D17" s="16" t="n"/>
      <c r="E17" s="14" t="n"/>
      <c r="F17" s="14">
        <f>IF($E17="","",WORKDAY($E17,-1,設定!$E$4:$E$40))</f>
        <v/>
      </c>
      <c r="G17" s="14">
        <f>IF($E17="","",$E17+1)</f>
        <v/>
      </c>
      <c r="H17" s="15">
        <f>IF($E17="","",($E17-(WEEKDAY($E17,2)-1)-14)+17/24)</f>
        <v/>
      </c>
      <c r="I17" s="14">
        <f>IF($E17="","",$E17-(WEEKDAY($E17,2)-1))</f>
        <v/>
      </c>
      <c r="J17" s="16">
        <f>IF($E17="","",COUNTIF($I$4:$I$203,$I17))</f>
        <v/>
      </c>
    </row>
    <row r="18">
      <c r="A18" s="16" t="n"/>
      <c r="B18" s="16" t="n"/>
      <c r="C18" s="16" t="n"/>
      <c r="D18" s="16" t="n"/>
      <c r="E18" s="14" t="n"/>
      <c r="F18" s="14">
        <f>IF($E18="","",WORKDAY($E18,-1,設定!$E$4:$E$40))</f>
        <v/>
      </c>
      <c r="G18" s="14">
        <f>IF($E18="","",$E18+1)</f>
        <v/>
      </c>
      <c r="H18" s="15">
        <f>IF($E18="","",($E18-(WEEKDAY($E18,2)-1)-14)+17/24)</f>
        <v/>
      </c>
      <c r="I18" s="14">
        <f>IF($E18="","",$E18-(WEEKDAY($E18,2)-1))</f>
        <v/>
      </c>
      <c r="J18" s="16">
        <f>IF($E18="","",COUNTIF($I$4:$I$203,$I18))</f>
        <v/>
      </c>
    </row>
    <row r="19">
      <c r="A19" s="16" t="n"/>
      <c r="B19" s="16" t="n"/>
      <c r="C19" s="16" t="n"/>
      <c r="D19" s="16" t="n"/>
      <c r="E19" s="14" t="n"/>
      <c r="F19" s="14">
        <f>IF($E19="","",WORKDAY($E19,-1,設定!$E$4:$E$40))</f>
        <v/>
      </c>
      <c r="G19" s="14">
        <f>IF($E19="","",$E19+1)</f>
        <v/>
      </c>
      <c r="H19" s="15">
        <f>IF($E19="","",($E19-(WEEKDAY($E19,2)-1)-14)+17/24)</f>
        <v/>
      </c>
      <c r="I19" s="14">
        <f>IF($E19="","",$E19-(WEEKDAY($E19,2)-1))</f>
        <v/>
      </c>
      <c r="J19" s="16">
        <f>IF($E19="","",COUNTIF($I$4:$I$203,$I19))</f>
        <v/>
      </c>
    </row>
    <row r="20">
      <c r="A20" s="16" t="n"/>
      <c r="B20" s="16" t="n"/>
      <c r="C20" s="16" t="n"/>
      <c r="D20" s="16" t="n"/>
      <c r="E20" s="14" t="n"/>
      <c r="F20" s="14">
        <f>IF($E20="","",WORKDAY($E20,-1,設定!$E$4:$E$40))</f>
        <v/>
      </c>
      <c r="G20" s="14">
        <f>IF($E20="","",$E20+1)</f>
        <v/>
      </c>
      <c r="H20" s="15">
        <f>IF($E20="","",($E20-(WEEKDAY($E20,2)-1)-14)+17/24)</f>
        <v/>
      </c>
      <c r="I20" s="14">
        <f>IF($E20="","",$E20-(WEEKDAY($E20,2)-1))</f>
        <v/>
      </c>
      <c r="J20" s="16">
        <f>IF($E20="","",COUNTIF($I$4:$I$203,$I20))</f>
        <v/>
      </c>
    </row>
    <row r="21">
      <c r="A21" s="16" t="n"/>
      <c r="B21" s="16" t="n"/>
      <c r="C21" s="16" t="n"/>
      <c r="D21" s="16" t="n"/>
      <c r="E21" s="14" t="n"/>
      <c r="F21" s="14">
        <f>IF($E21="","",WORKDAY($E21,-1,設定!$E$4:$E$40))</f>
        <v/>
      </c>
      <c r="G21" s="14">
        <f>IF($E21="","",$E21+1)</f>
        <v/>
      </c>
      <c r="H21" s="15">
        <f>IF($E21="","",($E21-(WEEKDAY($E21,2)-1)-14)+17/24)</f>
        <v/>
      </c>
      <c r="I21" s="14">
        <f>IF($E21="","",$E21-(WEEKDAY($E21,2)-1))</f>
        <v/>
      </c>
      <c r="J21" s="16">
        <f>IF($E21="","",COUNTIF($I$4:$I$203,$I21))</f>
        <v/>
      </c>
    </row>
    <row r="22">
      <c r="A22" s="16" t="n"/>
      <c r="B22" s="16" t="n"/>
      <c r="C22" s="16" t="n"/>
      <c r="D22" s="16" t="n"/>
      <c r="E22" s="14" t="n"/>
      <c r="F22" s="14">
        <f>IF($E22="","",WORKDAY($E22,-1,設定!$E$4:$E$40))</f>
        <v/>
      </c>
      <c r="G22" s="14">
        <f>IF($E22="","",$E22+1)</f>
        <v/>
      </c>
      <c r="H22" s="15">
        <f>IF($E22="","",($E22-(WEEKDAY($E22,2)-1)-14)+17/24)</f>
        <v/>
      </c>
      <c r="I22" s="14">
        <f>IF($E22="","",$E22-(WEEKDAY($E22,2)-1))</f>
        <v/>
      </c>
      <c r="J22" s="16">
        <f>IF($E22="","",COUNTIF($I$4:$I$203,$I22))</f>
        <v/>
      </c>
    </row>
    <row r="23">
      <c r="A23" s="16" t="n"/>
      <c r="B23" s="16" t="n"/>
      <c r="C23" s="16" t="n"/>
      <c r="D23" s="16" t="n"/>
      <c r="E23" s="14" t="n"/>
      <c r="F23" s="14">
        <f>IF($E23="","",WORKDAY($E23,-1,設定!$E$4:$E$40))</f>
        <v/>
      </c>
      <c r="G23" s="14">
        <f>IF($E23="","",$E23+1)</f>
        <v/>
      </c>
      <c r="H23" s="15">
        <f>IF($E23="","",($E23-(WEEKDAY($E23,2)-1)-14)+17/24)</f>
        <v/>
      </c>
      <c r="I23" s="14">
        <f>IF($E23="","",$E23-(WEEKDAY($E23,2)-1))</f>
        <v/>
      </c>
      <c r="J23" s="16">
        <f>IF($E23="","",COUNTIF($I$4:$I$203,$I23))</f>
        <v/>
      </c>
    </row>
    <row r="24">
      <c r="A24" s="16" t="n"/>
      <c r="B24" s="16" t="n"/>
      <c r="C24" s="16" t="n"/>
      <c r="D24" s="16" t="n"/>
      <c r="E24" s="14" t="n"/>
      <c r="F24" s="14">
        <f>IF($E24="","",WORKDAY($E24,-1,設定!$E$4:$E$40))</f>
        <v/>
      </c>
      <c r="G24" s="14">
        <f>IF($E24="","",$E24+1)</f>
        <v/>
      </c>
      <c r="H24" s="15">
        <f>IF($E24="","",($E24-(WEEKDAY($E24,2)-1)-14)+17/24)</f>
        <v/>
      </c>
      <c r="I24" s="14">
        <f>IF($E24="","",$E24-(WEEKDAY($E24,2)-1))</f>
        <v/>
      </c>
      <c r="J24" s="16">
        <f>IF($E24="","",COUNTIF($I$4:$I$203,$I24))</f>
        <v/>
      </c>
    </row>
    <row r="25">
      <c r="A25" s="16" t="n"/>
      <c r="B25" s="16" t="n"/>
      <c r="C25" s="16" t="n"/>
      <c r="D25" s="16" t="n"/>
      <c r="E25" s="14" t="n"/>
      <c r="F25" s="14">
        <f>IF($E25="","",WORKDAY($E25,-1,設定!$E$4:$E$40))</f>
        <v/>
      </c>
      <c r="G25" s="14">
        <f>IF($E25="","",$E25+1)</f>
        <v/>
      </c>
      <c r="H25" s="15">
        <f>IF($E25="","",($E25-(WEEKDAY($E25,2)-1)-14)+17/24)</f>
        <v/>
      </c>
      <c r="I25" s="14">
        <f>IF($E25="","",$E25-(WEEKDAY($E25,2)-1))</f>
        <v/>
      </c>
      <c r="J25" s="16">
        <f>IF($E25="","",COUNTIF($I$4:$I$203,$I25))</f>
        <v/>
      </c>
    </row>
    <row r="26">
      <c r="A26" s="16" t="n"/>
      <c r="B26" s="16" t="n"/>
      <c r="C26" s="16" t="n"/>
      <c r="D26" s="16" t="n"/>
      <c r="E26" s="14" t="n"/>
      <c r="F26" s="14">
        <f>IF($E26="","",WORKDAY($E26,-1,設定!$E$4:$E$40))</f>
        <v/>
      </c>
      <c r="G26" s="14">
        <f>IF($E26="","",$E26+1)</f>
        <v/>
      </c>
      <c r="H26" s="15">
        <f>IF($E26="","",($E26-(WEEKDAY($E26,2)-1)-14)+17/24)</f>
        <v/>
      </c>
      <c r="I26" s="14">
        <f>IF($E26="","",$E26-(WEEKDAY($E26,2)-1))</f>
        <v/>
      </c>
      <c r="J26" s="16">
        <f>IF($E26="","",COUNTIF($I$4:$I$203,$I26))</f>
        <v/>
      </c>
    </row>
    <row r="27">
      <c r="A27" s="16" t="n"/>
      <c r="B27" s="16" t="n"/>
      <c r="C27" s="16" t="n"/>
      <c r="D27" s="16" t="n"/>
      <c r="E27" s="14" t="n"/>
      <c r="F27" s="14">
        <f>IF($E27="","",WORKDAY($E27,-1,設定!$E$4:$E$40))</f>
        <v/>
      </c>
      <c r="G27" s="14">
        <f>IF($E27="","",$E27+1)</f>
        <v/>
      </c>
      <c r="H27" s="15">
        <f>IF($E27="","",($E27-(WEEKDAY($E27,2)-1)-14)+17/24)</f>
        <v/>
      </c>
      <c r="I27" s="14">
        <f>IF($E27="","",$E27-(WEEKDAY($E27,2)-1))</f>
        <v/>
      </c>
      <c r="J27" s="16">
        <f>IF($E27="","",COUNTIF($I$4:$I$203,$I27))</f>
        <v/>
      </c>
    </row>
    <row r="28">
      <c r="A28" s="16" t="n"/>
      <c r="B28" s="16" t="n"/>
      <c r="C28" s="16" t="n"/>
      <c r="D28" s="16" t="n"/>
      <c r="E28" s="14" t="n"/>
      <c r="F28" s="14">
        <f>IF($E28="","",WORKDAY($E28,-1,設定!$E$4:$E$40))</f>
        <v/>
      </c>
      <c r="G28" s="14">
        <f>IF($E28="","",$E28+1)</f>
        <v/>
      </c>
      <c r="H28" s="15">
        <f>IF($E28="","",($E28-(WEEKDAY($E28,2)-1)-14)+17/24)</f>
        <v/>
      </c>
      <c r="I28" s="14">
        <f>IF($E28="","",$E28-(WEEKDAY($E28,2)-1))</f>
        <v/>
      </c>
      <c r="J28" s="16">
        <f>IF($E28="","",COUNTIF($I$4:$I$203,$I28))</f>
        <v/>
      </c>
    </row>
    <row r="29">
      <c r="A29" s="16" t="n"/>
      <c r="B29" s="16" t="n"/>
      <c r="C29" s="16" t="n"/>
      <c r="D29" s="16" t="n"/>
      <c r="E29" s="14" t="n"/>
      <c r="F29" s="14">
        <f>IF($E29="","",WORKDAY($E29,-1,設定!$E$4:$E$40))</f>
        <v/>
      </c>
      <c r="G29" s="14">
        <f>IF($E29="","",$E29+1)</f>
        <v/>
      </c>
      <c r="H29" s="15">
        <f>IF($E29="","",($E29-(WEEKDAY($E29,2)-1)-14)+17/24)</f>
        <v/>
      </c>
      <c r="I29" s="14">
        <f>IF($E29="","",$E29-(WEEKDAY($E29,2)-1))</f>
        <v/>
      </c>
      <c r="J29" s="16">
        <f>IF($E29="","",COUNTIF($I$4:$I$203,$I29))</f>
        <v/>
      </c>
    </row>
    <row r="30">
      <c r="A30" s="16" t="n"/>
      <c r="B30" s="16" t="n"/>
      <c r="C30" s="16" t="n"/>
      <c r="D30" s="16" t="n"/>
      <c r="E30" s="14" t="n"/>
      <c r="F30" s="14">
        <f>IF($E30="","",WORKDAY($E30,-1,設定!$E$4:$E$40))</f>
        <v/>
      </c>
      <c r="G30" s="14">
        <f>IF($E30="","",$E30+1)</f>
        <v/>
      </c>
      <c r="H30" s="15">
        <f>IF($E30="","",($E30-(WEEKDAY($E30,2)-1)-14)+17/24)</f>
        <v/>
      </c>
      <c r="I30" s="14">
        <f>IF($E30="","",$E30-(WEEKDAY($E30,2)-1))</f>
        <v/>
      </c>
      <c r="J30" s="16">
        <f>IF($E30="","",COUNTIF($I$4:$I$203,$I30))</f>
        <v/>
      </c>
    </row>
    <row r="31">
      <c r="A31" s="16" t="n"/>
      <c r="B31" s="16" t="n"/>
      <c r="C31" s="16" t="n"/>
      <c r="D31" s="16" t="n"/>
      <c r="E31" s="14" t="n"/>
      <c r="F31" s="14">
        <f>IF($E31="","",WORKDAY($E31,-1,設定!$E$4:$E$40))</f>
        <v/>
      </c>
      <c r="G31" s="14">
        <f>IF($E31="","",$E31+1)</f>
        <v/>
      </c>
      <c r="H31" s="15">
        <f>IF($E31="","",($E31-(WEEKDAY($E31,2)-1)-14)+17/24)</f>
        <v/>
      </c>
      <c r="I31" s="14">
        <f>IF($E31="","",$E31-(WEEKDAY($E31,2)-1))</f>
        <v/>
      </c>
      <c r="J31" s="16">
        <f>IF($E31="","",COUNTIF($I$4:$I$203,$I31))</f>
        <v/>
      </c>
    </row>
    <row r="32">
      <c r="A32" s="16" t="n"/>
      <c r="B32" s="16" t="n"/>
      <c r="C32" s="16" t="n"/>
      <c r="D32" s="16" t="n"/>
      <c r="E32" s="14" t="n"/>
      <c r="F32" s="14">
        <f>IF($E32="","",WORKDAY($E32,-1,設定!$E$4:$E$40))</f>
        <v/>
      </c>
      <c r="G32" s="14">
        <f>IF($E32="","",$E32+1)</f>
        <v/>
      </c>
      <c r="H32" s="15">
        <f>IF($E32="","",($E32-(WEEKDAY($E32,2)-1)-14)+17/24)</f>
        <v/>
      </c>
      <c r="I32" s="14">
        <f>IF($E32="","",$E32-(WEEKDAY($E32,2)-1))</f>
        <v/>
      </c>
      <c r="J32" s="16">
        <f>IF($E32="","",COUNTIF($I$4:$I$203,$I32))</f>
        <v/>
      </c>
    </row>
    <row r="33">
      <c r="A33" s="16" t="n"/>
      <c r="B33" s="16" t="n"/>
      <c r="C33" s="16" t="n"/>
      <c r="D33" s="16" t="n"/>
      <c r="E33" s="14" t="n"/>
      <c r="F33" s="14">
        <f>IF($E33="","",WORKDAY($E33,-1,設定!$E$4:$E$40))</f>
        <v/>
      </c>
      <c r="G33" s="14">
        <f>IF($E33="","",$E33+1)</f>
        <v/>
      </c>
      <c r="H33" s="15">
        <f>IF($E33="","",($E33-(WEEKDAY($E33,2)-1)-14)+17/24)</f>
        <v/>
      </c>
      <c r="I33" s="14">
        <f>IF($E33="","",$E33-(WEEKDAY($E33,2)-1))</f>
        <v/>
      </c>
      <c r="J33" s="16">
        <f>IF($E33="","",COUNTIF($I$4:$I$203,$I33))</f>
        <v/>
      </c>
    </row>
    <row r="34">
      <c r="A34" s="16" t="n"/>
      <c r="B34" s="16" t="n"/>
      <c r="C34" s="16" t="n"/>
      <c r="D34" s="16" t="n"/>
      <c r="E34" s="14" t="n"/>
      <c r="F34" s="14">
        <f>IF($E34="","",WORKDAY($E34,-1,設定!$E$4:$E$40))</f>
        <v/>
      </c>
      <c r="G34" s="14">
        <f>IF($E34="","",$E34+1)</f>
        <v/>
      </c>
      <c r="H34" s="15">
        <f>IF($E34="","",($E34-(WEEKDAY($E34,2)-1)-14)+17/24)</f>
        <v/>
      </c>
      <c r="I34" s="14">
        <f>IF($E34="","",$E34-(WEEKDAY($E34,2)-1))</f>
        <v/>
      </c>
      <c r="J34" s="16">
        <f>IF($E34="","",COUNTIF($I$4:$I$203,$I34))</f>
        <v/>
      </c>
    </row>
    <row r="35">
      <c r="A35" s="16" t="n"/>
      <c r="B35" s="16" t="n"/>
      <c r="C35" s="16" t="n"/>
      <c r="D35" s="16" t="n"/>
      <c r="E35" s="14" t="n"/>
      <c r="F35" s="14">
        <f>IF($E35="","",WORKDAY($E35,-1,設定!$E$4:$E$40))</f>
        <v/>
      </c>
      <c r="G35" s="14">
        <f>IF($E35="","",$E35+1)</f>
        <v/>
      </c>
      <c r="H35" s="15">
        <f>IF($E35="","",($E35-(WEEKDAY($E35,2)-1)-14)+17/24)</f>
        <v/>
      </c>
      <c r="I35" s="14">
        <f>IF($E35="","",$E35-(WEEKDAY($E35,2)-1))</f>
        <v/>
      </c>
      <c r="J35" s="16">
        <f>IF($E35="","",COUNTIF($I$4:$I$203,$I35))</f>
        <v/>
      </c>
    </row>
    <row r="36">
      <c r="A36" s="16" t="n"/>
      <c r="B36" s="16" t="n"/>
      <c r="C36" s="16" t="n"/>
      <c r="D36" s="16" t="n"/>
      <c r="E36" s="14" t="n"/>
      <c r="F36" s="14">
        <f>IF($E36="","",WORKDAY($E36,-1,設定!$E$4:$E$40))</f>
        <v/>
      </c>
      <c r="G36" s="14">
        <f>IF($E36="","",$E36+1)</f>
        <v/>
      </c>
      <c r="H36" s="15">
        <f>IF($E36="","",($E36-(WEEKDAY($E36,2)-1)-14)+17/24)</f>
        <v/>
      </c>
      <c r="I36" s="14">
        <f>IF($E36="","",$E36-(WEEKDAY($E36,2)-1))</f>
        <v/>
      </c>
      <c r="J36" s="16">
        <f>IF($E36="","",COUNTIF($I$4:$I$203,$I36))</f>
        <v/>
      </c>
    </row>
    <row r="37">
      <c r="A37" s="16" t="n"/>
      <c r="B37" s="16" t="n"/>
      <c r="C37" s="16" t="n"/>
      <c r="D37" s="16" t="n"/>
      <c r="E37" s="14" t="n"/>
      <c r="F37" s="14">
        <f>IF($E37="","",WORKDAY($E37,-1,設定!$E$4:$E$40))</f>
        <v/>
      </c>
      <c r="G37" s="14">
        <f>IF($E37="","",$E37+1)</f>
        <v/>
      </c>
      <c r="H37" s="15">
        <f>IF($E37="","",($E37-(WEEKDAY($E37,2)-1)-14)+17/24)</f>
        <v/>
      </c>
      <c r="I37" s="14">
        <f>IF($E37="","",$E37-(WEEKDAY($E37,2)-1))</f>
        <v/>
      </c>
      <c r="J37" s="16">
        <f>IF($E37="","",COUNTIF($I$4:$I$203,$I37))</f>
        <v/>
      </c>
    </row>
    <row r="38">
      <c r="A38" s="16" t="n"/>
      <c r="B38" s="16" t="n"/>
      <c r="C38" s="16" t="n"/>
      <c r="D38" s="16" t="n"/>
      <c r="E38" s="14" t="n"/>
      <c r="F38" s="14">
        <f>IF($E38="","",WORKDAY($E38,-1,設定!$E$4:$E$40))</f>
        <v/>
      </c>
      <c r="G38" s="14">
        <f>IF($E38="","",$E38+1)</f>
        <v/>
      </c>
      <c r="H38" s="15">
        <f>IF($E38="","",($E38-(WEEKDAY($E38,2)-1)-14)+17/24)</f>
        <v/>
      </c>
      <c r="I38" s="14">
        <f>IF($E38="","",$E38-(WEEKDAY($E38,2)-1))</f>
        <v/>
      </c>
      <c r="J38" s="16">
        <f>IF($E38="","",COUNTIF($I$4:$I$203,$I38))</f>
        <v/>
      </c>
    </row>
    <row r="39">
      <c r="A39" s="16" t="n"/>
      <c r="B39" s="16" t="n"/>
      <c r="C39" s="16" t="n"/>
      <c r="D39" s="16" t="n"/>
      <c r="E39" s="14" t="n"/>
      <c r="F39" s="14">
        <f>IF($E39="","",WORKDAY($E39,-1,設定!$E$4:$E$40))</f>
        <v/>
      </c>
      <c r="G39" s="14">
        <f>IF($E39="","",$E39+1)</f>
        <v/>
      </c>
      <c r="H39" s="15">
        <f>IF($E39="","",($E39-(WEEKDAY($E39,2)-1)-14)+17/24)</f>
        <v/>
      </c>
      <c r="I39" s="14">
        <f>IF($E39="","",$E39-(WEEKDAY($E39,2)-1))</f>
        <v/>
      </c>
      <c r="J39" s="16">
        <f>IF($E39="","",COUNTIF($I$4:$I$203,$I39))</f>
        <v/>
      </c>
    </row>
    <row r="40">
      <c r="A40" s="16" t="n"/>
      <c r="B40" s="16" t="n"/>
      <c r="C40" s="16" t="n"/>
      <c r="D40" s="16" t="n"/>
      <c r="E40" s="14" t="n"/>
      <c r="F40" s="14">
        <f>IF($E40="","",WORKDAY($E40,-1,設定!$E$4:$E$40))</f>
        <v/>
      </c>
      <c r="G40" s="14">
        <f>IF($E40="","",$E40+1)</f>
        <v/>
      </c>
      <c r="H40" s="15">
        <f>IF($E40="","",($E40-(WEEKDAY($E40,2)-1)-14)+17/24)</f>
        <v/>
      </c>
      <c r="I40" s="14">
        <f>IF($E40="","",$E40-(WEEKDAY($E40,2)-1))</f>
        <v/>
      </c>
      <c r="J40" s="16">
        <f>IF($E40="","",COUNTIF($I$4:$I$203,$I40))</f>
        <v/>
      </c>
    </row>
    <row r="41">
      <c r="A41" s="16" t="n"/>
      <c r="B41" s="16" t="n"/>
      <c r="C41" s="16" t="n"/>
      <c r="D41" s="16" t="n"/>
      <c r="E41" s="14" t="n"/>
      <c r="F41" s="14">
        <f>IF($E41="","",WORKDAY($E41,-1,設定!$E$4:$E$40))</f>
        <v/>
      </c>
      <c r="G41" s="14">
        <f>IF($E41="","",$E41+1)</f>
        <v/>
      </c>
      <c r="H41" s="15">
        <f>IF($E41="","",($E41-(WEEKDAY($E41,2)-1)-14)+17/24)</f>
        <v/>
      </c>
      <c r="I41" s="14">
        <f>IF($E41="","",$E41-(WEEKDAY($E41,2)-1))</f>
        <v/>
      </c>
      <c r="J41" s="16">
        <f>IF($E41="","",COUNTIF($I$4:$I$203,$I41))</f>
        <v/>
      </c>
    </row>
    <row r="42">
      <c r="A42" s="16" t="n"/>
      <c r="B42" s="16" t="n"/>
      <c r="C42" s="16" t="n"/>
      <c r="D42" s="16" t="n"/>
      <c r="E42" s="14" t="n"/>
      <c r="F42" s="14">
        <f>IF($E42="","",WORKDAY($E42,-1,設定!$E$4:$E$40))</f>
        <v/>
      </c>
      <c r="G42" s="14">
        <f>IF($E42="","",$E42+1)</f>
        <v/>
      </c>
      <c r="H42" s="15">
        <f>IF($E42="","",($E42-(WEEKDAY($E42,2)-1)-14)+17/24)</f>
        <v/>
      </c>
      <c r="I42" s="14">
        <f>IF($E42="","",$E42-(WEEKDAY($E42,2)-1))</f>
        <v/>
      </c>
      <c r="J42" s="16">
        <f>IF($E42="","",COUNTIF($I$4:$I$203,$I42))</f>
        <v/>
      </c>
    </row>
    <row r="43">
      <c r="A43" s="16" t="n"/>
      <c r="B43" s="16" t="n"/>
      <c r="C43" s="16" t="n"/>
      <c r="D43" s="16" t="n"/>
      <c r="E43" s="14" t="n"/>
      <c r="F43" s="14">
        <f>IF($E43="","",WORKDAY($E43,-1,設定!$E$4:$E$40))</f>
        <v/>
      </c>
      <c r="G43" s="14">
        <f>IF($E43="","",$E43+1)</f>
        <v/>
      </c>
      <c r="H43" s="15">
        <f>IF($E43="","",($E43-(WEEKDAY($E43,2)-1)-14)+17/24)</f>
        <v/>
      </c>
      <c r="I43" s="14">
        <f>IF($E43="","",$E43-(WEEKDAY($E43,2)-1))</f>
        <v/>
      </c>
      <c r="J43" s="16">
        <f>IF($E43="","",COUNTIF($I$4:$I$203,$I43))</f>
        <v/>
      </c>
    </row>
    <row r="44">
      <c r="A44" s="16" t="n"/>
      <c r="B44" s="16" t="n"/>
      <c r="C44" s="16" t="n"/>
      <c r="D44" s="16" t="n"/>
      <c r="E44" s="14" t="n"/>
      <c r="F44" s="14">
        <f>IF($E44="","",WORKDAY($E44,-1,設定!$E$4:$E$40))</f>
        <v/>
      </c>
      <c r="G44" s="14">
        <f>IF($E44="","",$E44+1)</f>
        <v/>
      </c>
      <c r="H44" s="15">
        <f>IF($E44="","",($E44-(WEEKDAY($E44,2)-1)-14)+17/24)</f>
        <v/>
      </c>
      <c r="I44" s="14">
        <f>IF($E44="","",$E44-(WEEKDAY($E44,2)-1))</f>
        <v/>
      </c>
      <c r="J44" s="16">
        <f>IF($E44="","",COUNTIF($I$4:$I$203,$I44))</f>
        <v/>
      </c>
    </row>
    <row r="45">
      <c r="A45" s="16" t="n"/>
      <c r="B45" s="16" t="n"/>
      <c r="C45" s="16" t="n"/>
      <c r="D45" s="16" t="n"/>
      <c r="E45" s="14" t="n"/>
      <c r="F45" s="14">
        <f>IF($E45="","",WORKDAY($E45,-1,設定!$E$4:$E$40))</f>
        <v/>
      </c>
      <c r="G45" s="14">
        <f>IF($E45="","",$E45+1)</f>
        <v/>
      </c>
      <c r="H45" s="15">
        <f>IF($E45="","",($E45-(WEEKDAY($E45,2)-1)-14)+17/24)</f>
        <v/>
      </c>
      <c r="I45" s="14">
        <f>IF($E45="","",$E45-(WEEKDAY($E45,2)-1))</f>
        <v/>
      </c>
      <c r="J45" s="16">
        <f>IF($E45="","",COUNTIF($I$4:$I$203,$I45))</f>
        <v/>
      </c>
    </row>
    <row r="46">
      <c r="A46" s="16" t="n"/>
      <c r="B46" s="16" t="n"/>
      <c r="C46" s="16" t="n"/>
      <c r="D46" s="16" t="n"/>
      <c r="E46" s="14" t="n"/>
      <c r="F46" s="14">
        <f>IF($E46="","",WORKDAY($E46,-1,設定!$E$4:$E$40))</f>
        <v/>
      </c>
      <c r="G46" s="14">
        <f>IF($E46="","",$E46+1)</f>
        <v/>
      </c>
      <c r="H46" s="15">
        <f>IF($E46="","",($E46-(WEEKDAY($E46,2)-1)-14)+17/24)</f>
        <v/>
      </c>
      <c r="I46" s="14">
        <f>IF($E46="","",$E46-(WEEKDAY($E46,2)-1))</f>
        <v/>
      </c>
      <c r="J46" s="16">
        <f>IF($E46="","",COUNTIF($I$4:$I$203,$I46))</f>
        <v/>
      </c>
    </row>
    <row r="47">
      <c r="A47" s="16" t="n"/>
      <c r="B47" s="16" t="n"/>
      <c r="C47" s="16" t="n"/>
      <c r="D47" s="16" t="n"/>
      <c r="E47" s="14" t="n"/>
      <c r="F47" s="14">
        <f>IF($E47="","",WORKDAY($E47,-1,設定!$E$4:$E$40))</f>
        <v/>
      </c>
      <c r="G47" s="14">
        <f>IF($E47="","",$E47+1)</f>
        <v/>
      </c>
      <c r="H47" s="15">
        <f>IF($E47="","",($E47-(WEEKDAY($E47,2)-1)-14)+17/24)</f>
        <v/>
      </c>
      <c r="I47" s="14">
        <f>IF($E47="","",$E47-(WEEKDAY($E47,2)-1))</f>
        <v/>
      </c>
      <c r="J47" s="16">
        <f>IF($E47="","",COUNTIF($I$4:$I$203,$I47))</f>
        <v/>
      </c>
    </row>
    <row r="48">
      <c r="A48" s="16" t="n"/>
      <c r="B48" s="16" t="n"/>
      <c r="C48" s="16" t="n"/>
      <c r="D48" s="16" t="n"/>
      <c r="E48" s="14" t="n"/>
      <c r="F48" s="14">
        <f>IF($E48="","",WORKDAY($E48,-1,設定!$E$4:$E$40))</f>
        <v/>
      </c>
      <c r="G48" s="14">
        <f>IF($E48="","",$E48+1)</f>
        <v/>
      </c>
      <c r="H48" s="15">
        <f>IF($E48="","",($E48-(WEEKDAY($E48,2)-1)-14)+17/24)</f>
        <v/>
      </c>
      <c r="I48" s="14">
        <f>IF($E48="","",$E48-(WEEKDAY($E48,2)-1))</f>
        <v/>
      </c>
      <c r="J48" s="16">
        <f>IF($E48="","",COUNTIF($I$4:$I$203,$I48))</f>
        <v/>
      </c>
    </row>
    <row r="49">
      <c r="A49" s="16" t="n"/>
      <c r="B49" s="16" t="n"/>
      <c r="C49" s="16" t="n"/>
      <c r="D49" s="16" t="n"/>
      <c r="E49" s="14" t="n"/>
      <c r="F49" s="14">
        <f>IF($E49="","",WORKDAY($E49,-1,設定!$E$4:$E$40))</f>
        <v/>
      </c>
      <c r="G49" s="14">
        <f>IF($E49="","",$E49+1)</f>
        <v/>
      </c>
      <c r="H49" s="15">
        <f>IF($E49="","",($E49-(WEEKDAY($E49,2)-1)-14)+17/24)</f>
        <v/>
      </c>
      <c r="I49" s="14">
        <f>IF($E49="","",$E49-(WEEKDAY($E49,2)-1))</f>
        <v/>
      </c>
      <c r="J49" s="16">
        <f>IF($E49="","",COUNTIF($I$4:$I$203,$I49))</f>
        <v/>
      </c>
    </row>
    <row r="50">
      <c r="A50" s="16" t="n"/>
      <c r="B50" s="16" t="n"/>
      <c r="C50" s="16" t="n"/>
      <c r="D50" s="16" t="n"/>
      <c r="E50" s="14" t="n"/>
      <c r="F50" s="14">
        <f>IF($E50="","",WORKDAY($E50,-1,設定!$E$4:$E$40))</f>
        <v/>
      </c>
      <c r="G50" s="14">
        <f>IF($E50="","",$E50+1)</f>
        <v/>
      </c>
      <c r="H50" s="15">
        <f>IF($E50="","",($E50-(WEEKDAY($E50,2)-1)-14)+17/24)</f>
        <v/>
      </c>
      <c r="I50" s="14">
        <f>IF($E50="","",$E50-(WEEKDAY($E50,2)-1))</f>
        <v/>
      </c>
      <c r="J50" s="16">
        <f>IF($E50="","",COUNTIF($I$4:$I$203,$I50))</f>
        <v/>
      </c>
    </row>
    <row r="51">
      <c r="A51" s="16" t="n"/>
      <c r="B51" s="16" t="n"/>
      <c r="C51" s="16" t="n"/>
      <c r="D51" s="16" t="n"/>
      <c r="E51" s="14" t="n"/>
      <c r="F51" s="14">
        <f>IF($E51="","",WORKDAY($E51,-1,設定!$E$4:$E$40))</f>
        <v/>
      </c>
      <c r="G51" s="14">
        <f>IF($E51="","",$E51+1)</f>
        <v/>
      </c>
      <c r="H51" s="15">
        <f>IF($E51="","",($E51-(WEEKDAY($E51,2)-1)-14)+17/24)</f>
        <v/>
      </c>
      <c r="I51" s="14">
        <f>IF($E51="","",$E51-(WEEKDAY($E51,2)-1))</f>
        <v/>
      </c>
      <c r="J51" s="16">
        <f>IF($E51="","",COUNTIF($I$4:$I$203,$I51))</f>
        <v/>
      </c>
    </row>
    <row r="52">
      <c r="A52" s="16" t="n"/>
      <c r="B52" s="16" t="n"/>
      <c r="C52" s="16" t="n"/>
      <c r="D52" s="16" t="n"/>
      <c r="E52" s="14" t="n"/>
      <c r="F52" s="14">
        <f>IF($E52="","",WORKDAY($E52,-1,設定!$E$4:$E$40))</f>
        <v/>
      </c>
      <c r="G52" s="14">
        <f>IF($E52="","",$E52+1)</f>
        <v/>
      </c>
      <c r="H52" s="15">
        <f>IF($E52="","",($E52-(WEEKDAY($E52,2)-1)-14)+17/24)</f>
        <v/>
      </c>
      <c r="I52" s="14">
        <f>IF($E52="","",$E52-(WEEKDAY($E52,2)-1))</f>
        <v/>
      </c>
      <c r="J52" s="16">
        <f>IF($E52="","",COUNTIF($I$4:$I$203,$I52))</f>
        <v/>
      </c>
    </row>
    <row r="53">
      <c r="A53" s="16" t="n"/>
      <c r="B53" s="16" t="n"/>
      <c r="C53" s="16" t="n"/>
      <c r="D53" s="16" t="n"/>
      <c r="E53" s="14" t="n"/>
      <c r="F53" s="14">
        <f>IF($E53="","",WORKDAY($E53,-1,設定!$E$4:$E$40))</f>
        <v/>
      </c>
      <c r="G53" s="14">
        <f>IF($E53="","",$E53+1)</f>
        <v/>
      </c>
      <c r="H53" s="15">
        <f>IF($E53="","",($E53-(WEEKDAY($E53,2)-1)-14)+17/24)</f>
        <v/>
      </c>
      <c r="I53" s="14">
        <f>IF($E53="","",$E53-(WEEKDAY($E53,2)-1))</f>
        <v/>
      </c>
      <c r="J53" s="16">
        <f>IF($E53="","",COUNTIF($I$4:$I$203,$I53))</f>
        <v/>
      </c>
    </row>
    <row r="54">
      <c r="A54" s="16" t="n"/>
      <c r="B54" s="16" t="n"/>
      <c r="C54" s="16" t="n"/>
      <c r="D54" s="16" t="n"/>
      <c r="E54" s="14" t="n"/>
      <c r="F54" s="14">
        <f>IF($E54="","",WORKDAY($E54,-1,設定!$E$4:$E$40))</f>
        <v/>
      </c>
      <c r="G54" s="14">
        <f>IF($E54="","",$E54+1)</f>
        <v/>
      </c>
      <c r="H54" s="15">
        <f>IF($E54="","",($E54-(WEEKDAY($E54,2)-1)-14)+17/24)</f>
        <v/>
      </c>
      <c r="I54" s="14">
        <f>IF($E54="","",$E54-(WEEKDAY($E54,2)-1))</f>
        <v/>
      </c>
      <c r="J54" s="16">
        <f>IF($E54="","",COUNTIF($I$4:$I$203,$I54))</f>
        <v/>
      </c>
    </row>
    <row r="55">
      <c r="A55" s="16" t="n"/>
      <c r="B55" s="16" t="n"/>
      <c r="C55" s="16" t="n"/>
      <c r="D55" s="16" t="n"/>
      <c r="E55" s="14" t="n"/>
      <c r="F55" s="14">
        <f>IF($E55="","",WORKDAY($E55,-1,設定!$E$4:$E$40))</f>
        <v/>
      </c>
      <c r="G55" s="14">
        <f>IF($E55="","",$E55+1)</f>
        <v/>
      </c>
      <c r="H55" s="15">
        <f>IF($E55="","",($E55-(WEEKDAY($E55,2)-1)-14)+17/24)</f>
        <v/>
      </c>
      <c r="I55" s="14">
        <f>IF($E55="","",$E55-(WEEKDAY($E55,2)-1))</f>
        <v/>
      </c>
      <c r="J55" s="16">
        <f>IF($E55="","",COUNTIF($I$4:$I$203,$I55))</f>
        <v/>
      </c>
    </row>
    <row r="56">
      <c r="A56" s="16" t="n"/>
      <c r="B56" s="16" t="n"/>
      <c r="C56" s="16" t="n"/>
      <c r="D56" s="16" t="n"/>
      <c r="E56" s="14" t="n"/>
      <c r="F56" s="14">
        <f>IF($E56="","",WORKDAY($E56,-1,設定!$E$4:$E$40))</f>
        <v/>
      </c>
      <c r="G56" s="14">
        <f>IF($E56="","",$E56+1)</f>
        <v/>
      </c>
      <c r="H56" s="15">
        <f>IF($E56="","",($E56-(WEEKDAY($E56,2)-1)-14)+17/24)</f>
        <v/>
      </c>
      <c r="I56" s="14">
        <f>IF($E56="","",$E56-(WEEKDAY($E56,2)-1))</f>
        <v/>
      </c>
      <c r="J56" s="16">
        <f>IF($E56="","",COUNTIF($I$4:$I$203,$I56))</f>
        <v/>
      </c>
    </row>
    <row r="57">
      <c r="A57" s="16" t="n"/>
      <c r="B57" s="16" t="n"/>
      <c r="C57" s="16" t="n"/>
      <c r="D57" s="16" t="n"/>
      <c r="E57" s="14" t="n"/>
      <c r="F57" s="14">
        <f>IF($E57="","",WORKDAY($E57,-1,設定!$E$4:$E$40))</f>
        <v/>
      </c>
      <c r="G57" s="14">
        <f>IF($E57="","",$E57+1)</f>
        <v/>
      </c>
      <c r="H57" s="15">
        <f>IF($E57="","",($E57-(WEEKDAY($E57,2)-1)-14)+17/24)</f>
        <v/>
      </c>
      <c r="I57" s="14">
        <f>IF($E57="","",$E57-(WEEKDAY($E57,2)-1))</f>
        <v/>
      </c>
      <c r="J57" s="16">
        <f>IF($E57="","",COUNTIF($I$4:$I$203,$I57))</f>
        <v/>
      </c>
    </row>
    <row r="58">
      <c r="A58" s="16" t="n"/>
      <c r="B58" s="16" t="n"/>
      <c r="C58" s="16" t="n"/>
      <c r="D58" s="16" t="n"/>
      <c r="E58" s="14" t="n"/>
      <c r="F58" s="14">
        <f>IF($E58="","",WORKDAY($E58,-1,設定!$E$4:$E$40))</f>
        <v/>
      </c>
      <c r="G58" s="14">
        <f>IF($E58="","",$E58+1)</f>
        <v/>
      </c>
      <c r="H58" s="15">
        <f>IF($E58="","",($E58-(WEEKDAY($E58,2)-1)-14)+17/24)</f>
        <v/>
      </c>
      <c r="I58" s="14">
        <f>IF($E58="","",$E58-(WEEKDAY($E58,2)-1))</f>
        <v/>
      </c>
      <c r="J58" s="16">
        <f>IF($E58="","",COUNTIF($I$4:$I$203,$I58))</f>
        <v/>
      </c>
    </row>
    <row r="59">
      <c r="A59" s="16" t="n"/>
      <c r="B59" s="16" t="n"/>
      <c r="C59" s="16" t="n"/>
      <c r="D59" s="16" t="n"/>
      <c r="E59" s="14" t="n"/>
      <c r="F59" s="14">
        <f>IF($E59="","",WORKDAY($E59,-1,設定!$E$4:$E$40))</f>
        <v/>
      </c>
      <c r="G59" s="14">
        <f>IF($E59="","",$E59+1)</f>
        <v/>
      </c>
      <c r="H59" s="15">
        <f>IF($E59="","",($E59-(WEEKDAY($E59,2)-1)-14)+17/24)</f>
        <v/>
      </c>
      <c r="I59" s="14">
        <f>IF($E59="","",$E59-(WEEKDAY($E59,2)-1))</f>
        <v/>
      </c>
      <c r="J59" s="16">
        <f>IF($E59="","",COUNTIF($I$4:$I$203,$I59))</f>
        <v/>
      </c>
    </row>
    <row r="60">
      <c r="A60" s="16" t="n"/>
      <c r="B60" s="16" t="n"/>
      <c r="C60" s="16" t="n"/>
      <c r="D60" s="16" t="n"/>
      <c r="E60" s="14" t="n"/>
      <c r="F60" s="14">
        <f>IF($E60="","",WORKDAY($E60,-1,設定!$E$4:$E$40))</f>
        <v/>
      </c>
      <c r="G60" s="14">
        <f>IF($E60="","",$E60+1)</f>
        <v/>
      </c>
      <c r="H60" s="15">
        <f>IF($E60="","",($E60-(WEEKDAY($E60,2)-1)-14)+17/24)</f>
        <v/>
      </c>
      <c r="I60" s="14">
        <f>IF($E60="","",$E60-(WEEKDAY($E60,2)-1))</f>
        <v/>
      </c>
      <c r="J60" s="16">
        <f>IF($E60="","",COUNTIF($I$4:$I$203,$I60))</f>
        <v/>
      </c>
    </row>
    <row r="61">
      <c r="A61" s="16" t="n"/>
      <c r="B61" s="16" t="n"/>
      <c r="C61" s="16" t="n"/>
      <c r="D61" s="16" t="n"/>
      <c r="E61" s="14" t="n"/>
      <c r="F61" s="14">
        <f>IF($E61="","",WORKDAY($E61,-1,設定!$E$4:$E$40))</f>
        <v/>
      </c>
      <c r="G61" s="14">
        <f>IF($E61="","",$E61+1)</f>
        <v/>
      </c>
      <c r="H61" s="15">
        <f>IF($E61="","",($E61-(WEEKDAY($E61,2)-1)-14)+17/24)</f>
        <v/>
      </c>
      <c r="I61" s="14">
        <f>IF($E61="","",$E61-(WEEKDAY($E61,2)-1))</f>
        <v/>
      </c>
      <c r="J61" s="16">
        <f>IF($E61="","",COUNTIF($I$4:$I$203,$I61))</f>
        <v/>
      </c>
    </row>
    <row r="62">
      <c r="A62" s="16" t="n"/>
      <c r="B62" s="16" t="n"/>
      <c r="C62" s="16" t="n"/>
      <c r="D62" s="16" t="n"/>
      <c r="E62" s="14" t="n"/>
      <c r="F62" s="14">
        <f>IF($E62="","",WORKDAY($E62,-1,設定!$E$4:$E$40))</f>
        <v/>
      </c>
      <c r="G62" s="14">
        <f>IF($E62="","",$E62+1)</f>
        <v/>
      </c>
      <c r="H62" s="15">
        <f>IF($E62="","",($E62-(WEEKDAY($E62,2)-1)-14)+17/24)</f>
        <v/>
      </c>
      <c r="I62" s="14">
        <f>IF($E62="","",$E62-(WEEKDAY($E62,2)-1))</f>
        <v/>
      </c>
      <c r="J62" s="16">
        <f>IF($E62="","",COUNTIF($I$4:$I$203,$I62))</f>
        <v/>
      </c>
    </row>
    <row r="63">
      <c r="A63" s="16" t="n"/>
      <c r="B63" s="16" t="n"/>
      <c r="C63" s="16" t="n"/>
      <c r="D63" s="16" t="n"/>
      <c r="E63" s="14" t="n"/>
      <c r="F63" s="14">
        <f>IF($E63="","",WORKDAY($E63,-1,設定!$E$4:$E$40))</f>
        <v/>
      </c>
      <c r="G63" s="14">
        <f>IF($E63="","",$E63+1)</f>
        <v/>
      </c>
      <c r="H63" s="15">
        <f>IF($E63="","",($E63-(WEEKDAY($E63,2)-1)-14)+17/24)</f>
        <v/>
      </c>
      <c r="I63" s="14">
        <f>IF($E63="","",$E63-(WEEKDAY($E63,2)-1))</f>
        <v/>
      </c>
      <c r="J63" s="16">
        <f>IF($E63="","",COUNTIF($I$4:$I$203,$I63))</f>
        <v/>
      </c>
    </row>
    <row r="64">
      <c r="A64" s="16" t="n"/>
      <c r="B64" s="16" t="n"/>
      <c r="C64" s="16" t="n"/>
      <c r="D64" s="16" t="n"/>
      <c r="E64" s="14" t="n"/>
      <c r="F64" s="14">
        <f>IF($E64="","",WORKDAY($E64,-1,設定!$E$4:$E$40))</f>
        <v/>
      </c>
      <c r="G64" s="14">
        <f>IF($E64="","",$E64+1)</f>
        <v/>
      </c>
      <c r="H64" s="15">
        <f>IF($E64="","",($E64-(WEEKDAY($E64,2)-1)-14)+17/24)</f>
        <v/>
      </c>
      <c r="I64" s="14">
        <f>IF($E64="","",$E64-(WEEKDAY($E64,2)-1))</f>
        <v/>
      </c>
      <c r="J64" s="16">
        <f>IF($E64="","",COUNTIF($I$4:$I$203,$I64))</f>
        <v/>
      </c>
    </row>
    <row r="65">
      <c r="A65" s="16" t="n"/>
      <c r="B65" s="16" t="n"/>
      <c r="C65" s="16" t="n"/>
      <c r="D65" s="16" t="n"/>
      <c r="E65" s="14" t="n"/>
      <c r="F65" s="14">
        <f>IF($E65="","",WORKDAY($E65,-1,設定!$E$4:$E$40))</f>
        <v/>
      </c>
      <c r="G65" s="14">
        <f>IF($E65="","",$E65+1)</f>
        <v/>
      </c>
      <c r="H65" s="15">
        <f>IF($E65="","",($E65-(WEEKDAY($E65,2)-1)-14)+17/24)</f>
        <v/>
      </c>
      <c r="I65" s="14">
        <f>IF($E65="","",$E65-(WEEKDAY($E65,2)-1))</f>
        <v/>
      </c>
      <c r="J65" s="16">
        <f>IF($E65="","",COUNTIF($I$4:$I$203,$I65))</f>
        <v/>
      </c>
    </row>
    <row r="66">
      <c r="A66" s="16" t="n"/>
      <c r="B66" s="16" t="n"/>
      <c r="C66" s="16" t="n"/>
      <c r="D66" s="16" t="n"/>
      <c r="E66" s="14" t="n"/>
      <c r="F66" s="14">
        <f>IF($E66="","",WORKDAY($E66,-1,設定!$E$4:$E$40))</f>
        <v/>
      </c>
      <c r="G66" s="14">
        <f>IF($E66="","",$E66+1)</f>
        <v/>
      </c>
      <c r="H66" s="15">
        <f>IF($E66="","",($E66-(WEEKDAY($E66,2)-1)-14)+17/24)</f>
        <v/>
      </c>
      <c r="I66" s="14">
        <f>IF($E66="","",$E66-(WEEKDAY($E66,2)-1))</f>
        <v/>
      </c>
      <c r="J66" s="16">
        <f>IF($E66="","",COUNTIF($I$4:$I$203,$I66))</f>
        <v/>
      </c>
    </row>
    <row r="67">
      <c r="A67" s="16" t="n"/>
      <c r="B67" s="16" t="n"/>
      <c r="C67" s="16" t="n"/>
      <c r="D67" s="16" t="n"/>
      <c r="E67" s="14" t="n"/>
      <c r="F67" s="14">
        <f>IF($E67="","",WORKDAY($E67,-1,設定!$E$4:$E$40))</f>
        <v/>
      </c>
      <c r="G67" s="14">
        <f>IF($E67="","",$E67+1)</f>
        <v/>
      </c>
      <c r="H67" s="15">
        <f>IF($E67="","",($E67-(WEEKDAY($E67,2)-1)-14)+17/24)</f>
        <v/>
      </c>
      <c r="I67" s="14">
        <f>IF($E67="","",$E67-(WEEKDAY($E67,2)-1))</f>
        <v/>
      </c>
      <c r="J67" s="16">
        <f>IF($E67="","",COUNTIF($I$4:$I$203,$I67))</f>
        <v/>
      </c>
    </row>
    <row r="68">
      <c r="A68" s="16" t="n"/>
      <c r="B68" s="16" t="n"/>
      <c r="C68" s="16" t="n"/>
      <c r="D68" s="16" t="n"/>
      <c r="E68" s="14" t="n"/>
      <c r="F68" s="14">
        <f>IF($E68="","",WORKDAY($E68,-1,設定!$E$4:$E$40))</f>
        <v/>
      </c>
      <c r="G68" s="14">
        <f>IF($E68="","",$E68+1)</f>
        <v/>
      </c>
      <c r="H68" s="15">
        <f>IF($E68="","",($E68-(WEEKDAY($E68,2)-1)-14)+17/24)</f>
        <v/>
      </c>
      <c r="I68" s="14">
        <f>IF($E68="","",$E68-(WEEKDAY($E68,2)-1))</f>
        <v/>
      </c>
      <c r="J68" s="16">
        <f>IF($E68="","",COUNTIF($I$4:$I$203,$I68))</f>
        <v/>
      </c>
    </row>
    <row r="69">
      <c r="A69" s="16" t="n"/>
      <c r="B69" s="16" t="n"/>
      <c r="C69" s="16" t="n"/>
      <c r="D69" s="16" t="n"/>
      <c r="E69" s="14" t="n"/>
      <c r="F69" s="14">
        <f>IF($E69="","",WORKDAY($E69,-1,設定!$E$4:$E$40))</f>
        <v/>
      </c>
      <c r="G69" s="14">
        <f>IF($E69="","",$E69+1)</f>
        <v/>
      </c>
      <c r="H69" s="15">
        <f>IF($E69="","",($E69-(WEEKDAY($E69,2)-1)-14)+17/24)</f>
        <v/>
      </c>
      <c r="I69" s="14">
        <f>IF($E69="","",$E69-(WEEKDAY($E69,2)-1))</f>
        <v/>
      </c>
      <c r="J69" s="16">
        <f>IF($E69="","",COUNTIF($I$4:$I$203,$I69))</f>
        <v/>
      </c>
    </row>
    <row r="70">
      <c r="A70" s="16" t="n"/>
      <c r="B70" s="16" t="n"/>
      <c r="C70" s="16" t="n"/>
      <c r="D70" s="16" t="n"/>
      <c r="E70" s="14" t="n"/>
      <c r="F70" s="14">
        <f>IF($E70="","",WORKDAY($E70,-1,設定!$E$4:$E$40))</f>
        <v/>
      </c>
      <c r="G70" s="14">
        <f>IF($E70="","",$E70+1)</f>
        <v/>
      </c>
      <c r="H70" s="15">
        <f>IF($E70="","",($E70-(WEEKDAY($E70,2)-1)-14)+17/24)</f>
        <v/>
      </c>
      <c r="I70" s="14">
        <f>IF($E70="","",$E70-(WEEKDAY($E70,2)-1))</f>
        <v/>
      </c>
      <c r="J70" s="16">
        <f>IF($E70="","",COUNTIF($I$4:$I$203,$I70))</f>
        <v/>
      </c>
    </row>
    <row r="71">
      <c r="A71" s="16" t="n"/>
      <c r="B71" s="16" t="n"/>
      <c r="C71" s="16" t="n"/>
      <c r="D71" s="16" t="n"/>
      <c r="E71" s="14" t="n"/>
      <c r="F71" s="14">
        <f>IF($E71="","",WORKDAY($E71,-1,設定!$E$4:$E$40))</f>
        <v/>
      </c>
      <c r="G71" s="14">
        <f>IF($E71="","",$E71+1)</f>
        <v/>
      </c>
      <c r="H71" s="15">
        <f>IF($E71="","",($E71-(WEEKDAY($E71,2)-1)-14)+17/24)</f>
        <v/>
      </c>
      <c r="I71" s="14">
        <f>IF($E71="","",$E71-(WEEKDAY($E71,2)-1))</f>
        <v/>
      </c>
      <c r="J71" s="16">
        <f>IF($E71="","",COUNTIF($I$4:$I$203,$I71))</f>
        <v/>
      </c>
    </row>
    <row r="72">
      <c r="A72" s="16" t="n"/>
      <c r="B72" s="16" t="n"/>
      <c r="C72" s="16" t="n"/>
      <c r="D72" s="16" t="n"/>
      <c r="E72" s="14" t="n"/>
      <c r="F72" s="14">
        <f>IF($E72="","",WORKDAY($E72,-1,設定!$E$4:$E$40))</f>
        <v/>
      </c>
      <c r="G72" s="14">
        <f>IF($E72="","",$E72+1)</f>
        <v/>
      </c>
      <c r="H72" s="15">
        <f>IF($E72="","",($E72-(WEEKDAY($E72,2)-1)-14)+17/24)</f>
        <v/>
      </c>
      <c r="I72" s="14">
        <f>IF($E72="","",$E72-(WEEKDAY($E72,2)-1))</f>
        <v/>
      </c>
      <c r="J72" s="16">
        <f>IF($E72="","",COUNTIF($I$4:$I$203,$I72))</f>
        <v/>
      </c>
    </row>
    <row r="73">
      <c r="A73" s="16" t="n"/>
      <c r="B73" s="16" t="n"/>
      <c r="C73" s="16" t="n"/>
      <c r="D73" s="16" t="n"/>
      <c r="E73" s="14" t="n"/>
      <c r="F73" s="14">
        <f>IF($E73="","",WORKDAY($E73,-1,設定!$E$4:$E$40))</f>
        <v/>
      </c>
      <c r="G73" s="14">
        <f>IF($E73="","",$E73+1)</f>
        <v/>
      </c>
      <c r="H73" s="15">
        <f>IF($E73="","",($E73-(WEEKDAY($E73,2)-1)-14)+17/24)</f>
        <v/>
      </c>
      <c r="I73" s="14">
        <f>IF($E73="","",$E73-(WEEKDAY($E73,2)-1))</f>
        <v/>
      </c>
      <c r="J73" s="16">
        <f>IF($E73="","",COUNTIF($I$4:$I$203,$I73))</f>
        <v/>
      </c>
    </row>
    <row r="74">
      <c r="A74" s="16" t="n"/>
      <c r="B74" s="16" t="n"/>
      <c r="C74" s="16" t="n"/>
      <c r="D74" s="16" t="n"/>
      <c r="E74" s="14" t="n"/>
      <c r="F74" s="14">
        <f>IF($E74="","",WORKDAY($E74,-1,設定!$E$4:$E$40))</f>
        <v/>
      </c>
      <c r="G74" s="14">
        <f>IF($E74="","",$E74+1)</f>
        <v/>
      </c>
      <c r="H74" s="15">
        <f>IF($E74="","",($E74-(WEEKDAY($E74,2)-1)-14)+17/24)</f>
        <v/>
      </c>
      <c r="I74" s="14">
        <f>IF($E74="","",$E74-(WEEKDAY($E74,2)-1))</f>
        <v/>
      </c>
      <c r="J74" s="16">
        <f>IF($E74="","",COUNTIF($I$4:$I$203,$I74))</f>
        <v/>
      </c>
    </row>
    <row r="75">
      <c r="A75" s="16" t="n"/>
      <c r="B75" s="16" t="n"/>
      <c r="C75" s="16" t="n"/>
      <c r="D75" s="16" t="n"/>
      <c r="E75" s="14" t="n"/>
      <c r="F75" s="14">
        <f>IF($E75="","",WORKDAY($E75,-1,設定!$E$4:$E$40))</f>
        <v/>
      </c>
      <c r="G75" s="14">
        <f>IF($E75="","",$E75+1)</f>
        <v/>
      </c>
      <c r="H75" s="15">
        <f>IF($E75="","",($E75-(WEEKDAY($E75,2)-1)-14)+17/24)</f>
        <v/>
      </c>
      <c r="I75" s="14">
        <f>IF($E75="","",$E75-(WEEKDAY($E75,2)-1))</f>
        <v/>
      </c>
      <c r="J75" s="16">
        <f>IF($E75="","",COUNTIF($I$4:$I$203,$I75))</f>
        <v/>
      </c>
    </row>
    <row r="76">
      <c r="A76" s="16" t="n"/>
      <c r="B76" s="16" t="n"/>
      <c r="C76" s="16" t="n"/>
      <c r="D76" s="16" t="n"/>
      <c r="E76" s="14" t="n"/>
      <c r="F76" s="14">
        <f>IF($E76="","",WORKDAY($E76,-1,設定!$E$4:$E$40))</f>
        <v/>
      </c>
      <c r="G76" s="14">
        <f>IF($E76="","",$E76+1)</f>
        <v/>
      </c>
      <c r="H76" s="15">
        <f>IF($E76="","",($E76-(WEEKDAY($E76,2)-1)-14)+17/24)</f>
        <v/>
      </c>
      <c r="I76" s="14">
        <f>IF($E76="","",$E76-(WEEKDAY($E76,2)-1))</f>
        <v/>
      </c>
      <c r="J76" s="16">
        <f>IF($E76="","",COUNTIF($I$4:$I$203,$I76))</f>
        <v/>
      </c>
    </row>
    <row r="77">
      <c r="A77" s="16" t="n"/>
      <c r="B77" s="16" t="n"/>
      <c r="C77" s="16" t="n"/>
      <c r="D77" s="16" t="n"/>
      <c r="E77" s="14" t="n"/>
      <c r="F77" s="14">
        <f>IF($E77="","",WORKDAY($E77,-1,設定!$E$4:$E$40))</f>
        <v/>
      </c>
      <c r="G77" s="14">
        <f>IF($E77="","",$E77+1)</f>
        <v/>
      </c>
      <c r="H77" s="15">
        <f>IF($E77="","",($E77-(WEEKDAY($E77,2)-1)-14)+17/24)</f>
        <v/>
      </c>
      <c r="I77" s="14">
        <f>IF($E77="","",$E77-(WEEKDAY($E77,2)-1))</f>
        <v/>
      </c>
      <c r="J77" s="16">
        <f>IF($E77="","",COUNTIF($I$4:$I$203,$I77))</f>
        <v/>
      </c>
    </row>
    <row r="78">
      <c r="A78" s="16" t="n"/>
      <c r="B78" s="16" t="n"/>
      <c r="C78" s="16" t="n"/>
      <c r="D78" s="16" t="n"/>
      <c r="E78" s="14" t="n"/>
      <c r="F78" s="14">
        <f>IF($E78="","",WORKDAY($E78,-1,設定!$E$4:$E$40))</f>
        <v/>
      </c>
      <c r="G78" s="14">
        <f>IF($E78="","",$E78+1)</f>
        <v/>
      </c>
      <c r="H78" s="15">
        <f>IF($E78="","",($E78-(WEEKDAY($E78,2)-1)-14)+17/24)</f>
        <v/>
      </c>
      <c r="I78" s="14">
        <f>IF($E78="","",$E78-(WEEKDAY($E78,2)-1))</f>
        <v/>
      </c>
      <c r="J78" s="16">
        <f>IF($E78="","",COUNTIF($I$4:$I$203,$I78))</f>
        <v/>
      </c>
    </row>
    <row r="79">
      <c r="A79" s="16" t="n"/>
      <c r="B79" s="16" t="n"/>
      <c r="C79" s="16" t="n"/>
      <c r="D79" s="16" t="n"/>
      <c r="E79" s="14" t="n"/>
      <c r="F79" s="14">
        <f>IF($E79="","",WORKDAY($E79,-1,設定!$E$4:$E$40))</f>
        <v/>
      </c>
      <c r="G79" s="14">
        <f>IF($E79="","",$E79+1)</f>
        <v/>
      </c>
      <c r="H79" s="15">
        <f>IF($E79="","",($E79-(WEEKDAY($E79,2)-1)-14)+17/24)</f>
        <v/>
      </c>
      <c r="I79" s="14">
        <f>IF($E79="","",$E79-(WEEKDAY($E79,2)-1))</f>
        <v/>
      </c>
      <c r="J79" s="16">
        <f>IF($E79="","",COUNTIF($I$4:$I$203,$I79))</f>
        <v/>
      </c>
    </row>
    <row r="80">
      <c r="A80" s="16" t="n"/>
      <c r="B80" s="16" t="n"/>
      <c r="C80" s="16" t="n"/>
      <c r="D80" s="16" t="n"/>
      <c r="E80" s="14" t="n"/>
      <c r="F80" s="14">
        <f>IF($E80="","",WORKDAY($E80,-1,設定!$E$4:$E$40))</f>
        <v/>
      </c>
      <c r="G80" s="14">
        <f>IF($E80="","",$E80+1)</f>
        <v/>
      </c>
      <c r="H80" s="15">
        <f>IF($E80="","",($E80-(WEEKDAY($E80,2)-1)-14)+17/24)</f>
        <v/>
      </c>
      <c r="I80" s="14">
        <f>IF($E80="","",$E80-(WEEKDAY($E80,2)-1))</f>
        <v/>
      </c>
      <c r="J80" s="16">
        <f>IF($E80="","",COUNTIF($I$4:$I$203,$I80))</f>
        <v/>
      </c>
    </row>
    <row r="81">
      <c r="A81" s="16" t="n"/>
      <c r="B81" s="16" t="n"/>
      <c r="C81" s="16" t="n"/>
      <c r="D81" s="16" t="n"/>
      <c r="E81" s="14" t="n"/>
      <c r="F81" s="14">
        <f>IF($E81="","",WORKDAY($E81,-1,設定!$E$4:$E$40))</f>
        <v/>
      </c>
      <c r="G81" s="14">
        <f>IF($E81="","",$E81+1)</f>
        <v/>
      </c>
      <c r="H81" s="15">
        <f>IF($E81="","",($E81-(WEEKDAY($E81,2)-1)-14)+17/24)</f>
        <v/>
      </c>
      <c r="I81" s="14">
        <f>IF($E81="","",$E81-(WEEKDAY($E81,2)-1))</f>
        <v/>
      </c>
      <c r="J81" s="16">
        <f>IF($E81="","",COUNTIF($I$4:$I$203,$I81))</f>
        <v/>
      </c>
    </row>
    <row r="82">
      <c r="A82" s="16" t="n"/>
      <c r="B82" s="16" t="n"/>
      <c r="C82" s="16" t="n"/>
      <c r="D82" s="16" t="n"/>
      <c r="E82" s="14" t="n"/>
      <c r="F82" s="14">
        <f>IF($E82="","",WORKDAY($E82,-1,設定!$E$4:$E$40))</f>
        <v/>
      </c>
      <c r="G82" s="14">
        <f>IF($E82="","",$E82+1)</f>
        <v/>
      </c>
      <c r="H82" s="15">
        <f>IF($E82="","",($E82-(WEEKDAY($E82,2)-1)-14)+17/24)</f>
        <v/>
      </c>
      <c r="I82" s="14">
        <f>IF($E82="","",$E82-(WEEKDAY($E82,2)-1))</f>
        <v/>
      </c>
      <c r="J82" s="16">
        <f>IF($E82="","",COUNTIF($I$4:$I$203,$I82))</f>
        <v/>
      </c>
    </row>
    <row r="83">
      <c r="A83" s="16" t="n"/>
      <c r="B83" s="16" t="n"/>
      <c r="C83" s="16" t="n"/>
      <c r="D83" s="16" t="n"/>
      <c r="E83" s="14" t="n"/>
      <c r="F83" s="14">
        <f>IF($E83="","",WORKDAY($E83,-1,設定!$E$4:$E$40))</f>
        <v/>
      </c>
      <c r="G83" s="14">
        <f>IF($E83="","",$E83+1)</f>
        <v/>
      </c>
      <c r="H83" s="15">
        <f>IF($E83="","",($E83-(WEEKDAY($E83,2)-1)-14)+17/24)</f>
        <v/>
      </c>
      <c r="I83" s="14">
        <f>IF($E83="","",$E83-(WEEKDAY($E83,2)-1))</f>
        <v/>
      </c>
      <c r="J83" s="16">
        <f>IF($E83="","",COUNTIF($I$4:$I$203,$I83))</f>
        <v/>
      </c>
    </row>
    <row r="84">
      <c r="A84" s="16" t="n"/>
      <c r="B84" s="16" t="n"/>
      <c r="C84" s="16" t="n"/>
      <c r="D84" s="16" t="n"/>
      <c r="E84" s="14" t="n"/>
      <c r="F84" s="14">
        <f>IF($E84="","",WORKDAY($E84,-1,設定!$E$4:$E$40))</f>
        <v/>
      </c>
      <c r="G84" s="14">
        <f>IF($E84="","",$E84+1)</f>
        <v/>
      </c>
      <c r="H84" s="15">
        <f>IF($E84="","",($E84-(WEEKDAY($E84,2)-1)-14)+17/24)</f>
        <v/>
      </c>
      <c r="I84" s="14">
        <f>IF($E84="","",$E84-(WEEKDAY($E84,2)-1))</f>
        <v/>
      </c>
      <c r="J84" s="16">
        <f>IF($E84="","",COUNTIF($I$4:$I$203,$I84))</f>
        <v/>
      </c>
    </row>
    <row r="85">
      <c r="A85" s="16" t="n"/>
      <c r="B85" s="16" t="n"/>
      <c r="C85" s="16" t="n"/>
      <c r="D85" s="16" t="n"/>
      <c r="E85" s="14" t="n"/>
      <c r="F85" s="14">
        <f>IF($E85="","",WORKDAY($E85,-1,設定!$E$4:$E$40))</f>
        <v/>
      </c>
      <c r="G85" s="14">
        <f>IF($E85="","",$E85+1)</f>
        <v/>
      </c>
      <c r="H85" s="15">
        <f>IF($E85="","",($E85-(WEEKDAY($E85,2)-1)-14)+17/24)</f>
        <v/>
      </c>
      <c r="I85" s="14">
        <f>IF($E85="","",$E85-(WEEKDAY($E85,2)-1))</f>
        <v/>
      </c>
      <c r="J85" s="16">
        <f>IF($E85="","",COUNTIF($I$4:$I$203,$I85))</f>
        <v/>
      </c>
    </row>
    <row r="86">
      <c r="A86" s="16" t="n"/>
      <c r="B86" s="16" t="n"/>
      <c r="C86" s="16" t="n"/>
      <c r="D86" s="16" t="n"/>
      <c r="E86" s="14" t="n"/>
      <c r="F86" s="14">
        <f>IF($E86="","",WORKDAY($E86,-1,設定!$E$4:$E$40))</f>
        <v/>
      </c>
      <c r="G86" s="14">
        <f>IF($E86="","",$E86+1)</f>
        <v/>
      </c>
      <c r="H86" s="15">
        <f>IF($E86="","",($E86-(WEEKDAY($E86,2)-1)-14)+17/24)</f>
        <v/>
      </c>
      <c r="I86" s="14">
        <f>IF($E86="","",$E86-(WEEKDAY($E86,2)-1))</f>
        <v/>
      </c>
      <c r="J86" s="16">
        <f>IF($E86="","",COUNTIF($I$4:$I$203,$I86))</f>
        <v/>
      </c>
    </row>
    <row r="87">
      <c r="A87" s="16" t="n"/>
      <c r="B87" s="16" t="n"/>
      <c r="C87" s="16" t="n"/>
      <c r="D87" s="16" t="n"/>
      <c r="E87" s="14" t="n"/>
      <c r="F87" s="14">
        <f>IF($E87="","",WORKDAY($E87,-1,設定!$E$4:$E$40))</f>
        <v/>
      </c>
      <c r="G87" s="14">
        <f>IF($E87="","",$E87+1)</f>
        <v/>
      </c>
      <c r="H87" s="15">
        <f>IF($E87="","",($E87-(WEEKDAY($E87,2)-1)-14)+17/24)</f>
        <v/>
      </c>
      <c r="I87" s="14">
        <f>IF($E87="","",$E87-(WEEKDAY($E87,2)-1))</f>
        <v/>
      </c>
      <c r="J87" s="16">
        <f>IF($E87="","",COUNTIF($I$4:$I$203,$I87))</f>
        <v/>
      </c>
    </row>
    <row r="88">
      <c r="A88" s="16" t="n"/>
      <c r="B88" s="16" t="n"/>
      <c r="C88" s="16" t="n"/>
      <c r="D88" s="16" t="n"/>
      <c r="E88" s="14" t="n"/>
      <c r="F88" s="14">
        <f>IF($E88="","",WORKDAY($E88,-1,設定!$E$4:$E$40))</f>
        <v/>
      </c>
      <c r="G88" s="14">
        <f>IF($E88="","",$E88+1)</f>
        <v/>
      </c>
      <c r="H88" s="15">
        <f>IF($E88="","",($E88-(WEEKDAY($E88,2)-1)-14)+17/24)</f>
        <v/>
      </c>
      <c r="I88" s="14">
        <f>IF($E88="","",$E88-(WEEKDAY($E88,2)-1))</f>
        <v/>
      </c>
      <c r="J88" s="16">
        <f>IF($E88="","",COUNTIF($I$4:$I$203,$I88))</f>
        <v/>
      </c>
    </row>
    <row r="89">
      <c r="A89" s="16" t="n"/>
      <c r="B89" s="16" t="n"/>
      <c r="C89" s="16" t="n"/>
      <c r="D89" s="16" t="n"/>
      <c r="E89" s="14" t="n"/>
      <c r="F89" s="14">
        <f>IF($E89="","",WORKDAY($E89,-1,設定!$E$4:$E$40))</f>
        <v/>
      </c>
      <c r="G89" s="14">
        <f>IF($E89="","",$E89+1)</f>
        <v/>
      </c>
      <c r="H89" s="15">
        <f>IF($E89="","",($E89-(WEEKDAY($E89,2)-1)-14)+17/24)</f>
        <v/>
      </c>
      <c r="I89" s="14">
        <f>IF($E89="","",$E89-(WEEKDAY($E89,2)-1))</f>
        <v/>
      </c>
      <c r="J89" s="16">
        <f>IF($E89="","",COUNTIF($I$4:$I$203,$I89))</f>
        <v/>
      </c>
    </row>
    <row r="90">
      <c r="A90" s="16" t="n"/>
      <c r="B90" s="16" t="n"/>
      <c r="C90" s="16" t="n"/>
      <c r="D90" s="16" t="n"/>
      <c r="E90" s="14" t="n"/>
      <c r="F90" s="14">
        <f>IF($E90="","",WORKDAY($E90,-1,設定!$E$4:$E$40))</f>
        <v/>
      </c>
      <c r="G90" s="14">
        <f>IF($E90="","",$E90+1)</f>
        <v/>
      </c>
      <c r="H90" s="15">
        <f>IF($E90="","",($E90-(WEEKDAY($E90,2)-1)-14)+17/24)</f>
        <v/>
      </c>
      <c r="I90" s="14">
        <f>IF($E90="","",$E90-(WEEKDAY($E90,2)-1))</f>
        <v/>
      </c>
      <c r="J90" s="16">
        <f>IF($E90="","",COUNTIF($I$4:$I$203,$I90))</f>
        <v/>
      </c>
    </row>
    <row r="91">
      <c r="A91" s="16" t="n"/>
      <c r="B91" s="16" t="n"/>
      <c r="C91" s="16" t="n"/>
      <c r="D91" s="16" t="n"/>
      <c r="E91" s="14" t="n"/>
      <c r="F91" s="14">
        <f>IF($E91="","",WORKDAY($E91,-1,設定!$E$4:$E$40))</f>
        <v/>
      </c>
      <c r="G91" s="14">
        <f>IF($E91="","",$E91+1)</f>
        <v/>
      </c>
      <c r="H91" s="15">
        <f>IF($E91="","",($E91-(WEEKDAY($E91,2)-1)-14)+17/24)</f>
        <v/>
      </c>
      <c r="I91" s="14">
        <f>IF($E91="","",$E91-(WEEKDAY($E91,2)-1))</f>
        <v/>
      </c>
      <c r="J91" s="16">
        <f>IF($E91="","",COUNTIF($I$4:$I$203,$I91))</f>
        <v/>
      </c>
    </row>
    <row r="92">
      <c r="A92" s="16" t="n"/>
      <c r="B92" s="16" t="n"/>
      <c r="C92" s="16" t="n"/>
      <c r="D92" s="16" t="n"/>
      <c r="E92" s="14" t="n"/>
      <c r="F92" s="14">
        <f>IF($E92="","",WORKDAY($E92,-1,設定!$E$4:$E$40))</f>
        <v/>
      </c>
      <c r="G92" s="14">
        <f>IF($E92="","",$E92+1)</f>
        <v/>
      </c>
      <c r="H92" s="15">
        <f>IF($E92="","",($E92-(WEEKDAY($E92,2)-1)-14)+17/24)</f>
        <v/>
      </c>
      <c r="I92" s="14">
        <f>IF($E92="","",$E92-(WEEKDAY($E92,2)-1))</f>
        <v/>
      </c>
      <c r="J92" s="16">
        <f>IF($E92="","",COUNTIF($I$4:$I$203,$I92))</f>
        <v/>
      </c>
    </row>
    <row r="93">
      <c r="A93" s="16" t="n"/>
      <c r="B93" s="16" t="n"/>
      <c r="C93" s="16" t="n"/>
      <c r="D93" s="16" t="n"/>
      <c r="E93" s="14" t="n"/>
      <c r="F93" s="14">
        <f>IF($E93="","",WORKDAY($E93,-1,設定!$E$4:$E$40))</f>
        <v/>
      </c>
      <c r="G93" s="14">
        <f>IF($E93="","",$E93+1)</f>
        <v/>
      </c>
      <c r="H93" s="15">
        <f>IF($E93="","",($E93-(WEEKDAY($E93,2)-1)-14)+17/24)</f>
        <v/>
      </c>
      <c r="I93" s="14">
        <f>IF($E93="","",$E93-(WEEKDAY($E93,2)-1))</f>
        <v/>
      </c>
      <c r="J93" s="16">
        <f>IF($E93="","",COUNTIF($I$4:$I$203,$I93))</f>
        <v/>
      </c>
    </row>
    <row r="94">
      <c r="A94" s="16" t="n"/>
      <c r="B94" s="16" t="n"/>
      <c r="C94" s="16" t="n"/>
      <c r="D94" s="16" t="n"/>
      <c r="E94" s="14" t="n"/>
      <c r="F94" s="14">
        <f>IF($E94="","",WORKDAY($E94,-1,設定!$E$4:$E$40))</f>
        <v/>
      </c>
      <c r="G94" s="14">
        <f>IF($E94="","",$E94+1)</f>
        <v/>
      </c>
      <c r="H94" s="15">
        <f>IF($E94="","",($E94-(WEEKDAY($E94,2)-1)-14)+17/24)</f>
        <v/>
      </c>
      <c r="I94" s="14">
        <f>IF($E94="","",$E94-(WEEKDAY($E94,2)-1))</f>
        <v/>
      </c>
      <c r="J94" s="16">
        <f>IF($E94="","",COUNTIF($I$4:$I$203,$I94))</f>
        <v/>
      </c>
    </row>
    <row r="95">
      <c r="A95" s="16" t="n"/>
      <c r="B95" s="16" t="n"/>
      <c r="C95" s="16" t="n"/>
      <c r="D95" s="16" t="n"/>
      <c r="E95" s="14" t="n"/>
      <c r="F95" s="14">
        <f>IF($E95="","",WORKDAY($E95,-1,設定!$E$4:$E$40))</f>
        <v/>
      </c>
      <c r="G95" s="14">
        <f>IF($E95="","",$E95+1)</f>
        <v/>
      </c>
      <c r="H95" s="15">
        <f>IF($E95="","",($E95-(WEEKDAY($E95,2)-1)-14)+17/24)</f>
        <v/>
      </c>
      <c r="I95" s="14">
        <f>IF($E95="","",$E95-(WEEKDAY($E95,2)-1))</f>
        <v/>
      </c>
      <c r="J95" s="16">
        <f>IF($E95="","",COUNTIF($I$4:$I$203,$I95))</f>
        <v/>
      </c>
    </row>
    <row r="96">
      <c r="A96" s="16" t="n"/>
      <c r="B96" s="16" t="n"/>
      <c r="C96" s="16" t="n"/>
      <c r="D96" s="16" t="n"/>
      <c r="E96" s="14" t="n"/>
      <c r="F96" s="14">
        <f>IF($E96="","",WORKDAY($E96,-1,設定!$E$4:$E$40))</f>
        <v/>
      </c>
      <c r="G96" s="14">
        <f>IF($E96="","",$E96+1)</f>
        <v/>
      </c>
      <c r="H96" s="15">
        <f>IF($E96="","",($E96-(WEEKDAY($E96,2)-1)-14)+17/24)</f>
        <v/>
      </c>
      <c r="I96" s="14">
        <f>IF($E96="","",$E96-(WEEKDAY($E96,2)-1))</f>
        <v/>
      </c>
      <c r="J96" s="16">
        <f>IF($E96="","",COUNTIF($I$4:$I$203,$I96))</f>
        <v/>
      </c>
    </row>
    <row r="97">
      <c r="A97" s="16" t="n"/>
      <c r="B97" s="16" t="n"/>
      <c r="C97" s="16" t="n"/>
      <c r="D97" s="16" t="n"/>
      <c r="E97" s="14" t="n"/>
      <c r="F97" s="14">
        <f>IF($E97="","",WORKDAY($E97,-1,設定!$E$4:$E$40))</f>
        <v/>
      </c>
      <c r="G97" s="14">
        <f>IF($E97="","",$E97+1)</f>
        <v/>
      </c>
      <c r="H97" s="15">
        <f>IF($E97="","",($E97-(WEEKDAY($E97,2)-1)-14)+17/24)</f>
        <v/>
      </c>
      <c r="I97" s="14">
        <f>IF($E97="","",$E97-(WEEKDAY($E97,2)-1))</f>
        <v/>
      </c>
      <c r="J97" s="16">
        <f>IF($E97="","",COUNTIF($I$4:$I$203,$I97))</f>
        <v/>
      </c>
    </row>
    <row r="98">
      <c r="A98" s="16" t="n"/>
      <c r="B98" s="16" t="n"/>
      <c r="C98" s="16" t="n"/>
      <c r="D98" s="16" t="n"/>
      <c r="E98" s="14" t="n"/>
      <c r="F98" s="14">
        <f>IF($E98="","",WORKDAY($E98,-1,設定!$E$4:$E$40))</f>
        <v/>
      </c>
      <c r="G98" s="14">
        <f>IF($E98="","",$E98+1)</f>
        <v/>
      </c>
      <c r="H98" s="15">
        <f>IF($E98="","",($E98-(WEEKDAY($E98,2)-1)-14)+17/24)</f>
        <v/>
      </c>
      <c r="I98" s="14">
        <f>IF($E98="","",$E98-(WEEKDAY($E98,2)-1))</f>
        <v/>
      </c>
      <c r="J98" s="16">
        <f>IF($E98="","",COUNTIF($I$4:$I$203,$I98))</f>
        <v/>
      </c>
    </row>
    <row r="99">
      <c r="A99" s="16" t="n"/>
      <c r="B99" s="16" t="n"/>
      <c r="C99" s="16" t="n"/>
      <c r="D99" s="16" t="n"/>
      <c r="E99" s="14" t="n"/>
      <c r="F99" s="14">
        <f>IF($E99="","",WORKDAY($E99,-1,設定!$E$4:$E$40))</f>
        <v/>
      </c>
      <c r="G99" s="14">
        <f>IF($E99="","",$E99+1)</f>
        <v/>
      </c>
      <c r="H99" s="15">
        <f>IF($E99="","",($E99-(WEEKDAY($E99,2)-1)-14)+17/24)</f>
        <v/>
      </c>
      <c r="I99" s="14">
        <f>IF($E99="","",$E99-(WEEKDAY($E99,2)-1))</f>
        <v/>
      </c>
      <c r="J99" s="16">
        <f>IF($E99="","",COUNTIF($I$4:$I$203,$I99))</f>
        <v/>
      </c>
    </row>
    <row r="100">
      <c r="A100" s="16" t="n"/>
      <c r="B100" s="16" t="n"/>
      <c r="C100" s="16" t="n"/>
      <c r="D100" s="16" t="n"/>
      <c r="E100" s="14" t="n"/>
      <c r="F100" s="14">
        <f>IF($E100="","",WORKDAY($E100,-1,設定!$E$4:$E$40))</f>
        <v/>
      </c>
      <c r="G100" s="14">
        <f>IF($E100="","",$E100+1)</f>
        <v/>
      </c>
      <c r="H100" s="15">
        <f>IF($E100="","",($E100-(WEEKDAY($E100,2)-1)-14)+17/24)</f>
        <v/>
      </c>
      <c r="I100" s="14">
        <f>IF($E100="","",$E100-(WEEKDAY($E100,2)-1))</f>
        <v/>
      </c>
      <c r="J100" s="16">
        <f>IF($E100="","",COUNTIF($I$4:$I$203,$I100))</f>
        <v/>
      </c>
    </row>
    <row r="101">
      <c r="A101" s="16" t="n"/>
      <c r="B101" s="16" t="n"/>
      <c r="C101" s="16" t="n"/>
      <c r="D101" s="16" t="n"/>
      <c r="E101" s="14" t="n"/>
      <c r="F101" s="14">
        <f>IF($E101="","",WORKDAY($E101,-1,設定!$E$4:$E$40))</f>
        <v/>
      </c>
      <c r="G101" s="14">
        <f>IF($E101="","",$E101+1)</f>
        <v/>
      </c>
      <c r="H101" s="15">
        <f>IF($E101="","",($E101-(WEEKDAY($E101,2)-1)-14)+17/24)</f>
        <v/>
      </c>
      <c r="I101" s="14">
        <f>IF($E101="","",$E101-(WEEKDAY($E101,2)-1))</f>
        <v/>
      </c>
      <c r="J101" s="16">
        <f>IF($E101="","",COUNTIF($I$4:$I$203,$I101))</f>
        <v/>
      </c>
    </row>
    <row r="102">
      <c r="A102" s="16" t="n"/>
      <c r="B102" s="16" t="n"/>
      <c r="C102" s="16" t="n"/>
      <c r="D102" s="16" t="n"/>
      <c r="E102" s="14" t="n"/>
      <c r="F102" s="14">
        <f>IF($E102="","",WORKDAY($E102,-1,設定!$E$4:$E$40))</f>
        <v/>
      </c>
      <c r="G102" s="14">
        <f>IF($E102="","",$E102+1)</f>
        <v/>
      </c>
      <c r="H102" s="15">
        <f>IF($E102="","",($E102-(WEEKDAY($E102,2)-1)-14)+17/24)</f>
        <v/>
      </c>
      <c r="I102" s="14">
        <f>IF($E102="","",$E102-(WEEKDAY($E102,2)-1))</f>
        <v/>
      </c>
      <c r="J102" s="16">
        <f>IF($E102="","",COUNTIF($I$4:$I$203,$I102))</f>
        <v/>
      </c>
    </row>
    <row r="103">
      <c r="A103" s="16" t="n"/>
      <c r="B103" s="16" t="n"/>
      <c r="C103" s="16" t="n"/>
      <c r="D103" s="16" t="n"/>
      <c r="E103" s="14" t="n"/>
      <c r="F103" s="14">
        <f>IF($E103="","",WORKDAY($E103,-1,設定!$E$4:$E$40))</f>
        <v/>
      </c>
      <c r="G103" s="14">
        <f>IF($E103="","",$E103+1)</f>
        <v/>
      </c>
      <c r="H103" s="15">
        <f>IF($E103="","",($E103-(WEEKDAY($E103,2)-1)-14)+17/24)</f>
        <v/>
      </c>
      <c r="I103" s="14">
        <f>IF($E103="","",$E103-(WEEKDAY($E103,2)-1))</f>
        <v/>
      </c>
      <c r="J103" s="16">
        <f>IF($E103="","",COUNTIF($I$4:$I$203,$I103))</f>
        <v/>
      </c>
    </row>
    <row r="104">
      <c r="A104" s="16" t="n"/>
      <c r="B104" s="16" t="n"/>
      <c r="C104" s="16" t="n"/>
      <c r="D104" s="16" t="n"/>
      <c r="E104" s="14" t="n"/>
      <c r="F104" s="14">
        <f>IF($E104="","",WORKDAY($E104,-1,設定!$E$4:$E$40))</f>
        <v/>
      </c>
      <c r="G104" s="14">
        <f>IF($E104="","",$E104+1)</f>
        <v/>
      </c>
      <c r="H104" s="15">
        <f>IF($E104="","",($E104-(WEEKDAY($E104,2)-1)-14)+17/24)</f>
        <v/>
      </c>
      <c r="I104" s="14">
        <f>IF($E104="","",$E104-(WEEKDAY($E104,2)-1))</f>
        <v/>
      </c>
      <c r="J104" s="16">
        <f>IF($E104="","",COUNTIF($I$4:$I$203,$I104))</f>
        <v/>
      </c>
    </row>
    <row r="105">
      <c r="A105" s="16" t="n"/>
      <c r="B105" s="16" t="n"/>
      <c r="C105" s="16" t="n"/>
      <c r="D105" s="16" t="n"/>
      <c r="E105" s="14" t="n"/>
      <c r="F105" s="14">
        <f>IF($E105="","",WORKDAY($E105,-1,設定!$E$4:$E$40))</f>
        <v/>
      </c>
      <c r="G105" s="14">
        <f>IF($E105="","",$E105+1)</f>
        <v/>
      </c>
      <c r="H105" s="15">
        <f>IF($E105="","",($E105-(WEEKDAY($E105,2)-1)-14)+17/24)</f>
        <v/>
      </c>
      <c r="I105" s="14">
        <f>IF($E105="","",$E105-(WEEKDAY($E105,2)-1))</f>
        <v/>
      </c>
      <c r="J105" s="16">
        <f>IF($E105="","",COUNTIF($I$4:$I$203,$I105))</f>
        <v/>
      </c>
    </row>
    <row r="106">
      <c r="A106" s="16" t="n"/>
      <c r="B106" s="16" t="n"/>
      <c r="C106" s="16" t="n"/>
      <c r="D106" s="16" t="n"/>
      <c r="E106" s="14" t="n"/>
      <c r="F106" s="14">
        <f>IF($E106="","",WORKDAY($E106,-1,設定!$E$4:$E$40))</f>
        <v/>
      </c>
      <c r="G106" s="14">
        <f>IF($E106="","",$E106+1)</f>
        <v/>
      </c>
      <c r="H106" s="15">
        <f>IF($E106="","",($E106-(WEEKDAY($E106,2)-1)-14)+17/24)</f>
        <v/>
      </c>
      <c r="I106" s="14">
        <f>IF($E106="","",$E106-(WEEKDAY($E106,2)-1))</f>
        <v/>
      </c>
      <c r="J106" s="16">
        <f>IF($E106="","",COUNTIF($I$4:$I$203,$I106))</f>
        <v/>
      </c>
    </row>
    <row r="107">
      <c r="A107" s="16" t="n"/>
      <c r="B107" s="16" t="n"/>
      <c r="C107" s="16" t="n"/>
      <c r="D107" s="16" t="n"/>
      <c r="E107" s="14" t="n"/>
      <c r="F107" s="14">
        <f>IF($E107="","",WORKDAY($E107,-1,設定!$E$4:$E$40))</f>
        <v/>
      </c>
      <c r="G107" s="14">
        <f>IF($E107="","",$E107+1)</f>
        <v/>
      </c>
      <c r="H107" s="15">
        <f>IF($E107="","",($E107-(WEEKDAY($E107,2)-1)-14)+17/24)</f>
        <v/>
      </c>
      <c r="I107" s="14">
        <f>IF($E107="","",$E107-(WEEKDAY($E107,2)-1))</f>
        <v/>
      </c>
      <c r="J107" s="16">
        <f>IF($E107="","",COUNTIF($I$4:$I$203,$I107))</f>
        <v/>
      </c>
    </row>
    <row r="108">
      <c r="A108" s="16" t="n"/>
      <c r="B108" s="16" t="n"/>
      <c r="C108" s="16" t="n"/>
      <c r="D108" s="16" t="n"/>
      <c r="E108" s="14" t="n"/>
      <c r="F108" s="14">
        <f>IF($E108="","",WORKDAY($E108,-1,設定!$E$4:$E$40))</f>
        <v/>
      </c>
      <c r="G108" s="14">
        <f>IF($E108="","",$E108+1)</f>
        <v/>
      </c>
      <c r="H108" s="15">
        <f>IF($E108="","",($E108-(WEEKDAY($E108,2)-1)-14)+17/24)</f>
        <v/>
      </c>
      <c r="I108" s="14">
        <f>IF($E108="","",$E108-(WEEKDAY($E108,2)-1))</f>
        <v/>
      </c>
      <c r="J108" s="16">
        <f>IF($E108="","",COUNTIF($I$4:$I$203,$I108))</f>
        <v/>
      </c>
    </row>
    <row r="109">
      <c r="A109" s="16" t="n"/>
      <c r="B109" s="16" t="n"/>
      <c r="C109" s="16" t="n"/>
      <c r="D109" s="16" t="n"/>
      <c r="E109" s="14" t="n"/>
      <c r="F109" s="14">
        <f>IF($E109="","",WORKDAY($E109,-1,設定!$E$4:$E$40))</f>
        <v/>
      </c>
      <c r="G109" s="14">
        <f>IF($E109="","",$E109+1)</f>
        <v/>
      </c>
      <c r="H109" s="15">
        <f>IF($E109="","",($E109-(WEEKDAY($E109,2)-1)-14)+17/24)</f>
        <v/>
      </c>
      <c r="I109" s="14">
        <f>IF($E109="","",$E109-(WEEKDAY($E109,2)-1))</f>
        <v/>
      </c>
      <c r="J109" s="16">
        <f>IF($E109="","",COUNTIF($I$4:$I$203,$I109))</f>
        <v/>
      </c>
    </row>
    <row r="110">
      <c r="A110" s="16" t="n"/>
      <c r="B110" s="16" t="n"/>
      <c r="C110" s="16" t="n"/>
      <c r="D110" s="16" t="n"/>
      <c r="E110" s="14" t="n"/>
      <c r="F110" s="14">
        <f>IF($E110="","",WORKDAY($E110,-1,設定!$E$4:$E$40))</f>
        <v/>
      </c>
      <c r="G110" s="14">
        <f>IF($E110="","",$E110+1)</f>
        <v/>
      </c>
      <c r="H110" s="15">
        <f>IF($E110="","",($E110-(WEEKDAY($E110,2)-1)-14)+17/24)</f>
        <v/>
      </c>
      <c r="I110" s="14">
        <f>IF($E110="","",$E110-(WEEKDAY($E110,2)-1))</f>
        <v/>
      </c>
      <c r="J110" s="16">
        <f>IF($E110="","",COUNTIF($I$4:$I$203,$I110))</f>
        <v/>
      </c>
    </row>
    <row r="111">
      <c r="A111" s="16" t="n"/>
      <c r="B111" s="16" t="n"/>
      <c r="C111" s="16" t="n"/>
      <c r="D111" s="16" t="n"/>
      <c r="E111" s="14" t="n"/>
      <c r="F111" s="14">
        <f>IF($E111="","",WORKDAY($E111,-1,設定!$E$4:$E$40))</f>
        <v/>
      </c>
      <c r="G111" s="14">
        <f>IF($E111="","",$E111+1)</f>
        <v/>
      </c>
      <c r="H111" s="15">
        <f>IF($E111="","",($E111-(WEEKDAY($E111,2)-1)-14)+17/24)</f>
        <v/>
      </c>
      <c r="I111" s="14">
        <f>IF($E111="","",$E111-(WEEKDAY($E111,2)-1))</f>
        <v/>
      </c>
      <c r="J111" s="16">
        <f>IF($E111="","",COUNTIF($I$4:$I$203,$I111))</f>
        <v/>
      </c>
    </row>
    <row r="112">
      <c r="A112" s="16" t="n"/>
      <c r="B112" s="16" t="n"/>
      <c r="C112" s="16" t="n"/>
      <c r="D112" s="16" t="n"/>
      <c r="E112" s="14" t="n"/>
      <c r="F112" s="14">
        <f>IF($E112="","",WORKDAY($E112,-1,設定!$E$4:$E$40))</f>
        <v/>
      </c>
      <c r="G112" s="14">
        <f>IF($E112="","",$E112+1)</f>
        <v/>
      </c>
      <c r="H112" s="15">
        <f>IF($E112="","",($E112-(WEEKDAY($E112,2)-1)-14)+17/24)</f>
        <v/>
      </c>
      <c r="I112" s="14">
        <f>IF($E112="","",$E112-(WEEKDAY($E112,2)-1))</f>
        <v/>
      </c>
      <c r="J112" s="16">
        <f>IF($E112="","",COUNTIF($I$4:$I$203,$I112))</f>
        <v/>
      </c>
    </row>
    <row r="113">
      <c r="A113" s="16" t="n"/>
      <c r="B113" s="16" t="n"/>
      <c r="C113" s="16" t="n"/>
      <c r="D113" s="16" t="n"/>
      <c r="E113" s="14" t="n"/>
      <c r="F113" s="14">
        <f>IF($E113="","",WORKDAY($E113,-1,設定!$E$4:$E$40))</f>
        <v/>
      </c>
      <c r="G113" s="14">
        <f>IF($E113="","",$E113+1)</f>
        <v/>
      </c>
      <c r="H113" s="15">
        <f>IF($E113="","",($E113-(WEEKDAY($E113,2)-1)-14)+17/24)</f>
        <v/>
      </c>
      <c r="I113" s="14">
        <f>IF($E113="","",$E113-(WEEKDAY($E113,2)-1))</f>
        <v/>
      </c>
      <c r="J113" s="16">
        <f>IF($E113="","",COUNTIF($I$4:$I$203,$I113))</f>
        <v/>
      </c>
    </row>
    <row r="114">
      <c r="A114" s="16" t="n"/>
      <c r="B114" s="16" t="n"/>
      <c r="C114" s="16" t="n"/>
      <c r="D114" s="16" t="n"/>
      <c r="E114" s="14" t="n"/>
      <c r="F114" s="14">
        <f>IF($E114="","",WORKDAY($E114,-1,設定!$E$4:$E$40))</f>
        <v/>
      </c>
      <c r="G114" s="14">
        <f>IF($E114="","",$E114+1)</f>
        <v/>
      </c>
      <c r="H114" s="15">
        <f>IF($E114="","",($E114-(WEEKDAY($E114,2)-1)-14)+17/24)</f>
        <v/>
      </c>
      <c r="I114" s="14">
        <f>IF($E114="","",$E114-(WEEKDAY($E114,2)-1))</f>
        <v/>
      </c>
      <c r="J114" s="16">
        <f>IF($E114="","",COUNTIF($I$4:$I$203,$I114))</f>
        <v/>
      </c>
    </row>
    <row r="115">
      <c r="A115" s="16" t="n"/>
      <c r="B115" s="16" t="n"/>
      <c r="C115" s="16" t="n"/>
      <c r="D115" s="16" t="n"/>
      <c r="E115" s="14" t="n"/>
      <c r="F115" s="14">
        <f>IF($E115="","",WORKDAY($E115,-1,設定!$E$4:$E$40))</f>
        <v/>
      </c>
      <c r="G115" s="14">
        <f>IF($E115="","",$E115+1)</f>
        <v/>
      </c>
      <c r="H115" s="15">
        <f>IF($E115="","",($E115-(WEEKDAY($E115,2)-1)-14)+17/24)</f>
        <v/>
      </c>
      <c r="I115" s="14">
        <f>IF($E115="","",$E115-(WEEKDAY($E115,2)-1))</f>
        <v/>
      </c>
      <c r="J115" s="16">
        <f>IF($E115="","",COUNTIF($I$4:$I$203,$I115))</f>
        <v/>
      </c>
    </row>
    <row r="116">
      <c r="A116" s="16" t="n"/>
      <c r="B116" s="16" t="n"/>
      <c r="C116" s="16" t="n"/>
      <c r="D116" s="16" t="n"/>
      <c r="E116" s="14" t="n"/>
      <c r="F116" s="14">
        <f>IF($E116="","",WORKDAY($E116,-1,設定!$E$4:$E$40))</f>
        <v/>
      </c>
      <c r="G116" s="14">
        <f>IF($E116="","",$E116+1)</f>
        <v/>
      </c>
      <c r="H116" s="15">
        <f>IF($E116="","",($E116-(WEEKDAY($E116,2)-1)-14)+17/24)</f>
        <v/>
      </c>
      <c r="I116" s="14">
        <f>IF($E116="","",$E116-(WEEKDAY($E116,2)-1))</f>
        <v/>
      </c>
      <c r="J116" s="16">
        <f>IF($E116="","",COUNTIF($I$4:$I$203,$I116))</f>
        <v/>
      </c>
    </row>
    <row r="117">
      <c r="A117" s="16" t="n"/>
      <c r="B117" s="16" t="n"/>
      <c r="C117" s="16" t="n"/>
      <c r="D117" s="16" t="n"/>
      <c r="E117" s="14" t="n"/>
      <c r="F117" s="14">
        <f>IF($E117="","",WORKDAY($E117,-1,設定!$E$4:$E$40))</f>
        <v/>
      </c>
      <c r="G117" s="14">
        <f>IF($E117="","",$E117+1)</f>
        <v/>
      </c>
      <c r="H117" s="15">
        <f>IF($E117="","",($E117-(WEEKDAY($E117,2)-1)-14)+17/24)</f>
        <v/>
      </c>
      <c r="I117" s="14">
        <f>IF($E117="","",$E117-(WEEKDAY($E117,2)-1))</f>
        <v/>
      </c>
      <c r="J117" s="16">
        <f>IF($E117="","",COUNTIF($I$4:$I$203,$I117))</f>
        <v/>
      </c>
    </row>
    <row r="118">
      <c r="A118" s="16" t="n"/>
      <c r="B118" s="16" t="n"/>
      <c r="C118" s="16" t="n"/>
      <c r="D118" s="16" t="n"/>
      <c r="E118" s="14" t="n"/>
      <c r="F118" s="14">
        <f>IF($E118="","",WORKDAY($E118,-1,設定!$E$4:$E$40))</f>
        <v/>
      </c>
      <c r="G118" s="14">
        <f>IF($E118="","",$E118+1)</f>
        <v/>
      </c>
      <c r="H118" s="15">
        <f>IF($E118="","",($E118-(WEEKDAY($E118,2)-1)-14)+17/24)</f>
        <v/>
      </c>
      <c r="I118" s="14">
        <f>IF($E118="","",$E118-(WEEKDAY($E118,2)-1))</f>
        <v/>
      </c>
      <c r="J118" s="16">
        <f>IF($E118="","",COUNTIF($I$4:$I$203,$I118))</f>
        <v/>
      </c>
    </row>
    <row r="119">
      <c r="A119" s="16" t="n"/>
      <c r="B119" s="16" t="n"/>
      <c r="C119" s="16" t="n"/>
      <c r="D119" s="16" t="n"/>
      <c r="E119" s="14" t="n"/>
      <c r="F119" s="14">
        <f>IF($E119="","",WORKDAY($E119,-1,設定!$E$4:$E$40))</f>
        <v/>
      </c>
      <c r="G119" s="14">
        <f>IF($E119="","",$E119+1)</f>
        <v/>
      </c>
      <c r="H119" s="15">
        <f>IF($E119="","",($E119-(WEEKDAY($E119,2)-1)-14)+17/24)</f>
        <v/>
      </c>
      <c r="I119" s="14">
        <f>IF($E119="","",$E119-(WEEKDAY($E119,2)-1))</f>
        <v/>
      </c>
      <c r="J119" s="16">
        <f>IF($E119="","",COUNTIF($I$4:$I$203,$I119))</f>
        <v/>
      </c>
    </row>
    <row r="120">
      <c r="A120" s="16" t="n"/>
      <c r="B120" s="16" t="n"/>
      <c r="C120" s="16" t="n"/>
      <c r="D120" s="16" t="n"/>
      <c r="E120" s="14" t="n"/>
      <c r="F120" s="14">
        <f>IF($E120="","",WORKDAY($E120,-1,設定!$E$4:$E$40))</f>
        <v/>
      </c>
      <c r="G120" s="14">
        <f>IF($E120="","",$E120+1)</f>
        <v/>
      </c>
      <c r="H120" s="15">
        <f>IF($E120="","",($E120-(WEEKDAY($E120,2)-1)-14)+17/24)</f>
        <v/>
      </c>
      <c r="I120" s="14">
        <f>IF($E120="","",$E120-(WEEKDAY($E120,2)-1))</f>
        <v/>
      </c>
      <c r="J120" s="16">
        <f>IF($E120="","",COUNTIF($I$4:$I$203,$I120))</f>
        <v/>
      </c>
    </row>
    <row r="121">
      <c r="A121" s="16" t="n"/>
      <c r="B121" s="16" t="n"/>
      <c r="C121" s="16" t="n"/>
      <c r="D121" s="16" t="n"/>
      <c r="E121" s="14" t="n"/>
      <c r="F121" s="14">
        <f>IF($E121="","",WORKDAY($E121,-1,設定!$E$4:$E$40))</f>
        <v/>
      </c>
      <c r="G121" s="14">
        <f>IF($E121="","",$E121+1)</f>
        <v/>
      </c>
      <c r="H121" s="15">
        <f>IF($E121="","",($E121-(WEEKDAY($E121,2)-1)-14)+17/24)</f>
        <v/>
      </c>
      <c r="I121" s="14">
        <f>IF($E121="","",$E121-(WEEKDAY($E121,2)-1))</f>
        <v/>
      </c>
      <c r="J121" s="16">
        <f>IF($E121="","",COUNTIF($I$4:$I$203,$I121))</f>
        <v/>
      </c>
    </row>
    <row r="122">
      <c r="A122" s="16" t="n"/>
      <c r="B122" s="16" t="n"/>
      <c r="C122" s="16" t="n"/>
      <c r="D122" s="16" t="n"/>
      <c r="E122" s="14" t="n"/>
      <c r="F122" s="14">
        <f>IF($E122="","",WORKDAY($E122,-1,設定!$E$4:$E$40))</f>
        <v/>
      </c>
      <c r="G122" s="14">
        <f>IF($E122="","",$E122+1)</f>
        <v/>
      </c>
      <c r="H122" s="15">
        <f>IF($E122="","",($E122-(WEEKDAY($E122,2)-1)-14)+17/24)</f>
        <v/>
      </c>
      <c r="I122" s="14">
        <f>IF($E122="","",$E122-(WEEKDAY($E122,2)-1))</f>
        <v/>
      </c>
      <c r="J122" s="16">
        <f>IF($E122="","",COUNTIF($I$4:$I$203,$I122))</f>
        <v/>
      </c>
    </row>
    <row r="123">
      <c r="A123" s="16" t="n"/>
      <c r="B123" s="16" t="n"/>
      <c r="C123" s="16" t="n"/>
      <c r="D123" s="16" t="n"/>
      <c r="E123" s="14" t="n"/>
      <c r="F123" s="14">
        <f>IF($E123="","",WORKDAY($E123,-1,設定!$E$4:$E$40))</f>
        <v/>
      </c>
      <c r="G123" s="14">
        <f>IF($E123="","",$E123+1)</f>
        <v/>
      </c>
      <c r="H123" s="15">
        <f>IF($E123="","",($E123-(WEEKDAY($E123,2)-1)-14)+17/24)</f>
        <v/>
      </c>
      <c r="I123" s="14">
        <f>IF($E123="","",$E123-(WEEKDAY($E123,2)-1))</f>
        <v/>
      </c>
      <c r="J123" s="16">
        <f>IF($E123="","",COUNTIF($I$4:$I$203,$I123))</f>
        <v/>
      </c>
    </row>
    <row r="124">
      <c r="A124" s="16" t="n"/>
      <c r="B124" s="16" t="n"/>
      <c r="C124" s="16" t="n"/>
      <c r="D124" s="16" t="n"/>
      <c r="E124" s="14" t="n"/>
      <c r="F124" s="14">
        <f>IF($E124="","",WORKDAY($E124,-1,設定!$E$4:$E$40))</f>
        <v/>
      </c>
      <c r="G124" s="14">
        <f>IF($E124="","",$E124+1)</f>
        <v/>
      </c>
      <c r="H124" s="15">
        <f>IF($E124="","",($E124-(WEEKDAY($E124,2)-1)-14)+17/24)</f>
        <v/>
      </c>
      <c r="I124" s="14">
        <f>IF($E124="","",$E124-(WEEKDAY($E124,2)-1))</f>
        <v/>
      </c>
      <c r="J124" s="16">
        <f>IF($E124="","",COUNTIF($I$4:$I$203,$I124))</f>
        <v/>
      </c>
    </row>
    <row r="125">
      <c r="A125" s="16" t="n"/>
      <c r="B125" s="16" t="n"/>
      <c r="C125" s="16" t="n"/>
      <c r="D125" s="16" t="n"/>
      <c r="E125" s="14" t="n"/>
      <c r="F125" s="14">
        <f>IF($E125="","",WORKDAY($E125,-1,設定!$E$4:$E$40))</f>
        <v/>
      </c>
      <c r="G125" s="14">
        <f>IF($E125="","",$E125+1)</f>
        <v/>
      </c>
      <c r="H125" s="15">
        <f>IF($E125="","",($E125-(WEEKDAY($E125,2)-1)-14)+17/24)</f>
        <v/>
      </c>
      <c r="I125" s="14">
        <f>IF($E125="","",$E125-(WEEKDAY($E125,2)-1))</f>
        <v/>
      </c>
      <c r="J125" s="16">
        <f>IF($E125="","",COUNTIF($I$4:$I$203,$I125))</f>
        <v/>
      </c>
    </row>
    <row r="126">
      <c r="A126" s="16" t="n"/>
      <c r="B126" s="16" t="n"/>
      <c r="C126" s="16" t="n"/>
      <c r="D126" s="16" t="n"/>
      <c r="E126" s="14" t="n"/>
      <c r="F126" s="14">
        <f>IF($E126="","",WORKDAY($E126,-1,設定!$E$4:$E$40))</f>
        <v/>
      </c>
      <c r="G126" s="14">
        <f>IF($E126="","",$E126+1)</f>
        <v/>
      </c>
      <c r="H126" s="15">
        <f>IF($E126="","",($E126-(WEEKDAY($E126,2)-1)-14)+17/24)</f>
        <v/>
      </c>
      <c r="I126" s="14">
        <f>IF($E126="","",$E126-(WEEKDAY($E126,2)-1))</f>
        <v/>
      </c>
      <c r="J126" s="16">
        <f>IF($E126="","",COUNTIF($I$4:$I$203,$I126))</f>
        <v/>
      </c>
    </row>
    <row r="127">
      <c r="A127" s="16" t="n"/>
      <c r="B127" s="16" t="n"/>
      <c r="C127" s="16" t="n"/>
      <c r="D127" s="16" t="n"/>
      <c r="E127" s="14" t="n"/>
      <c r="F127" s="14">
        <f>IF($E127="","",WORKDAY($E127,-1,設定!$E$4:$E$40))</f>
        <v/>
      </c>
      <c r="G127" s="14">
        <f>IF($E127="","",$E127+1)</f>
        <v/>
      </c>
      <c r="H127" s="15">
        <f>IF($E127="","",($E127-(WEEKDAY($E127,2)-1)-14)+17/24)</f>
        <v/>
      </c>
      <c r="I127" s="14">
        <f>IF($E127="","",$E127-(WEEKDAY($E127,2)-1))</f>
        <v/>
      </c>
      <c r="J127" s="16">
        <f>IF($E127="","",COUNTIF($I$4:$I$203,$I127))</f>
        <v/>
      </c>
    </row>
    <row r="128">
      <c r="A128" s="16" t="n"/>
      <c r="B128" s="16" t="n"/>
      <c r="C128" s="16" t="n"/>
      <c r="D128" s="16" t="n"/>
      <c r="E128" s="14" t="n"/>
      <c r="F128" s="14">
        <f>IF($E128="","",WORKDAY($E128,-1,設定!$E$4:$E$40))</f>
        <v/>
      </c>
      <c r="G128" s="14">
        <f>IF($E128="","",$E128+1)</f>
        <v/>
      </c>
      <c r="H128" s="15">
        <f>IF($E128="","",($E128-(WEEKDAY($E128,2)-1)-14)+17/24)</f>
        <v/>
      </c>
      <c r="I128" s="14">
        <f>IF($E128="","",$E128-(WEEKDAY($E128,2)-1))</f>
        <v/>
      </c>
      <c r="J128" s="16">
        <f>IF($E128="","",COUNTIF($I$4:$I$203,$I128))</f>
        <v/>
      </c>
    </row>
    <row r="129">
      <c r="A129" s="16" t="n"/>
      <c r="B129" s="16" t="n"/>
      <c r="C129" s="16" t="n"/>
      <c r="D129" s="16" t="n"/>
      <c r="E129" s="14" t="n"/>
      <c r="F129" s="14">
        <f>IF($E129="","",WORKDAY($E129,-1,設定!$E$4:$E$40))</f>
        <v/>
      </c>
      <c r="G129" s="14">
        <f>IF($E129="","",$E129+1)</f>
        <v/>
      </c>
      <c r="H129" s="15">
        <f>IF($E129="","",($E129-(WEEKDAY($E129,2)-1)-14)+17/24)</f>
        <v/>
      </c>
      <c r="I129" s="14">
        <f>IF($E129="","",$E129-(WEEKDAY($E129,2)-1))</f>
        <v/>
      </c>
      <c r="J129" s="16">
        <f>IF($E129="","",COUNTIF($I$4:$I$203,$I129))</f>
        <v/>
      </c>
    </row>
    <row r="130">
      <c r="A130" s="16" t="n"/>
      <c r="B130" s="16" t="n"/>
      <c r="C130" s="16" t="n"/>
      <c r="D130" s="16" t="n"/>
      <c r="E130" s="14" t="n"/>
      <c r="F130" s="14">
        <f>IF($E130="","",WORKDAY($E130,-1,設定!$E$4:$E$40))</f>
        <v/>
      </c>
      <c r="G130" s="14">
        <f>IF($E130="","",$E130+1)</f>
        <v/>
      </c>
      <c r="H130" s="15">
        <f>IF($E130="","",($E130-(WEEKDAY($E130,2)-1)-14)+17/24)</f>
        <v/>
      </c>
      <c r="I130" s="14">
        <f>IF($E130="","",$E130-(WEEKDAY($E130,2)-1))</f>
        <v/>
      </c>
      <c r="J130" s="16">
        <f>IF($E130="","",COUNTIF($I$4:$I$203,$I130))</f>
        <v/>
      </c>
    </row>
    <row r="131">
      <c r="A131" s="16" t="n"/>
      <c r="B131" s="16" t="n"/>
      <c r="C131" s="16" t="n"/>
      <c r="D131" s="16" t="n"/>
      <c r="E131" s="14" t="n"/>
      <c r="F131" s="14">
        <f>IF($E131="","",WORKDAY($E131,-1,設定!$E$4:$E$40))</f>
        <v/>
      </c>
      <c r="G131" s="14">
        <f>IF($E131="","",$E131+1)</f>
        <v/>
      </c>
      <c r="H131" s="15">
        <f>IF($E131="","",($E131-(WEEKDAY($E131,2)-1)-14)+17/24)</f>
        <v/>
      </c>
      <c r="I131" s="14">
        <f>IF($E131="","",$E131-(WEEKDAY($E131,2)-1))</f>
        <v/>
      </c>
      <c r="J131" s="16">
        <f>IF($E131="","",COUNTIF($I$4:$I$203,$I131))</f>
        <v/>
      </c>
    </row>
    <row r="132">
      <c r="A132" s="16" t="n"/>
      <c r="B132" s="16" t="n"/>
      <c r="C132" s="16" t="n"/>
      <c r="D132" s="16" t="n"/>
      <c r="E132" s="14" t="n"/>
      <c r="F132" s="14">
        <f>IF($E132="","",WORKDAY($E132,-1,設定!$E$4:$E$40))</f>
        <v/>
      </c>
      <c r="G132" s="14">
        <f>IF($E132="","",$E132+1)</f>
        <v/>
      </c>
      <c r="H132" s="15">
        <f>IF($E132="","",($E132-(WEEKDAY($E132,2)-1)-14)+17/24)</f>
        <v/>
      </c>
      <c r="I132" s="14">
        <f>IF($E132="","",$E132-(WEEKDAY($E132,2)-1))</f>
        <v/>
      </c>
      <c r="J132" s="16">
        <f>IF($E132="","",COUNTIF($I$4:$I$203,$I132))</f>
        <v/>
      </c>
    </row>
    <row r="133">
      <c r="A133" s="16" t="n"/>
      <c r="B133" s="16" t="n"/>
      <c r="C133" s="16" t="n"/>
      <c r="D133" s="16" t="n"/>
      <c r="E133" s="14" t="n"/>
      <c r="F133" s="14">
        <f>IF($E133="","",WORKDAY($E133,-1,設定!$E$4:$E$40))</f>
        <v/>
      </c>
      <c r="G133" s="14">
        <f>IF($E133="","",$E133+1)</f>
        <v/>
      </c>
      <c r="H133" s="15">
        <f>IF($E133="","",($E133-(WEEKDAY($E133,2)-1)-14)+17/24)</f>
        <v/>
      </c>
      <c r="I133" s="14">
        <f>IF($E133="","",$E133-(WEEKDAY($E133,2)-1))</f>
        <v/>
      </c>
      <c r="J133" s="16">
        <f>IF($E133="","",COUNTIF($I$4:$I$203,$I133))</f>
        <v/>
      </c>
    </row>
    <row r="134">
      <c r="A134" s="16" t="n"/>
      <c r="B134" s="16" t="n"/>
      <c r="C134" s="16" t="n"/>
      <c r="D134" s="16" t="n"/>
      <c r="E134" s="14" t="n"/>
      <c r="F134" s="14">
        <f>IF($E134="","",WORKDAY($E134,-1,設定!$E$4:$E$40))</f>
        <v/>
      </c>
      <c r="G134" s="14">
        <f>IF($E134="","",$E134+1)</f>
        <v/>
      </c>
      <c r="H134" s="15">
        <f>IF($E134="","",($E134-(WEEKDAY($E134,2)-1)-14)+17/24)</f>
        <v/>
      </c>
      <c r="I134" s="14">
        <f>IF($E134="","",$E134-(WEEKDAY($E134,2)-1))</f>
        <v/>
      </c>
      <c r="J134" s="16">
        <f>IF($E134="","",COUNTIF($I$4:$I$203,$I134))</f>
        <v/>
      </c>
    </row>
    <row r="135">
      <c r="A135" s="16" t="n"/>
      <c r="B135" s="16" t="n"/>
      <c r="C135" s="16" t="n"/>
      <c r="D135" s="16" t="n"/>
      <c r="E135" s="14" t="n"/>
      <c r="F135" s="14">
        <f>IF($E135="","",WORKDAY($E135,-1,設定!$E$4:$E$40))</f>
        <v/>
      </c>
      <c r="G135" s="14">
        <f>IF($E135="","",$E135+1)</f>
        <v/>
      </c>
      <c r="H135" s="15">
        <f>IF($E135="","",($E135-(WEEKDAY($E135,2)-1)-14)+17/24)</f>
        <v/>
      </c>
      <c r="I135" s="14">
        <f>IF($E135="","",$E135-(WEEKDAY($E135,2)-1))</f>
        <v/>
      </c>
      <c r="J135" s="16">
        <f>IF($E135="","",COUNTIF($I$4:$I$203,$I135))</f>
        <v/>
      </c>
    </row>
    <row r="136">
      <c r="A136" s="16" t="n"/>
      <c r="B136" s="16" t="n"/>
      <c r="C136" s="16" t="n"/>
      <c r="D136" s="16" t="n"/>
      <c r="E136" s="14" t="n"/>
      <c r="F136" s="14">
        <f>IF($E136="","",WORKDAY($E136,-1,設定!$E$4:$E$40))</f>
        <v/>
      </c>
      <c r="G136" s="14">
        <f>IF($E136="","",$E136+1)</f>
        <v/>
      </c>
      <c r="H136" s="15">
        <f>IF($E136="","",($E136-(WEEKDAY($E136,2)-1)-14)+17/24)</f>
        <v/>
      </c>
      <c r="I136" s="14">
        <f>IF($E136="","",$E136-(WEEKDAY($E136,2)-1))</f>
        <v/>
      </c>
      <c r="J136" s="16">
        <f>IF($E136="","",COUNTIF($I$4:$I$203,$I136))</f>
        <v/>
      </c>
    </row>
    <row r="137">
      <c r="A137" s="16" t="n"/>
      <c r="B137" s="16" t="n"/>
      <c r="C137" s="16" t="n"/>
      <c r="D137" s="16" t="n"/>
      <c r="E137" s="14" t="n"/>
      <c r="F137" s="14">
        <f>IF($E137="","",WORKDAY($E137,-1,設定!$E$4:$E$40))</f>
        <v/>
      </c>
      <c r="G137" s="14">
        <f>IF($E137="","",$E137+1)</f>
        <v/>
      </c>
      <c r="H137" s="15">
        <f>IF($E137="","",($E137-(WEEKDAY($E137,2)-1)-14)+17/24)</f>
        <v/>
      </c>
      <c r="I137" s="14">
        <f>IF($E137="","",$E137-(WEEKDAY($E137,2)-1))</f>
        <v/>
      </c>
      <c r="J137" s="16">
        <f>IF($E137="","",COUNTIF($I$4:$I$203,$I137))</f>
        <v/>
      </c>
    </row>
    <row r="138">
      <c r="A138" s="16" t="n"/>
      <c r="B138" s="16" t="n"/>
      <c r="C138" s="16" t="n"/>
      <c r="D138" s="16" t="n"/>
      <c r="E138" s="14" t="n"/>
      <c r="F138" s="14">
        <f>IF($E138="","",WORKDAY($E138,-1,設定!$E$4:$E$40))</f>
        <v/>
      </c>
      <c r="G138" s="14">
        <f>IF($E138="","",$E138+1)</f>
        <v/>
      </c>
      <c r="H138" s="15">
        <f>IF($E138="","",($E138-(WEEKDAY($E138,2)-1)-14)+17/24)</f>
        <v/>
      </c>
      <c r="I138" s="14">
        <f>IF($E138="","",$E138-(WEEKDAY($E138,2)-1))</f>
        <v/>
      </c>
      <c r="J138" s="16">
        <f>IF($E138="","",COUNTIF($I$4:$I$203,$I138))</f>
        <v/>
      </c>
    </row>
    <row r="139">
      <c r="A139" s="16" t="n"/>
      <c r="B139" s="16" t="n"/>
      <c r="C139" s="16" t="n"/>
      <c r="D139" s="16" t="n"/>
      <c r="E139" s="14" t="n"/>
      <c r="F139" s="14">
        <f>IF($E139="","",WORKDAY($E139,-1,設定!$E$4:$E$40))</f>
        <v/>
      </c>
      <c r="G139" s="14">
        <f>IF($E139="","",$E139+1)</f>
        <v/>
      </c>
      <c r="H139" s="15">
        <f>IF($E139="","",($E139-(WEEKDAY($E139,2)-1)-14)+17/24)</f>
        <v/>
      </c>
      <c r="I139" s="14">
        <f>IF($E139="","",$E139-(WEEKDAY($E139,2)-1))</f>
        <v/>
      </c>
      <c r="J139" s="16">
        <f>IF($E139="","",COUNTIF($I$4:$I$203,$I139))</f>
        <v/>
      </c>
    </row>
    <row r="140">
      <c r="A140" s="16" t="n"/>
      <c r="B140" s="16" t="n"/>
      <c r="C140" s="16" t="n"/>
      <c r="D140" s="16" t="n"/>
      <c r="E140" s="14" t="n"/>
      <c r="F140" s="14">
        <f>IF($E140="","",WORKDAY($E140,-1,設定!$E$4:$E$40))</f>
        <v/>
      </c>
      <c r="G140" s="14">
        <f>IF($E140="","",$E140+1)</f>
        <v/>
      </c>
      <c r="H140" s="15">
        <f>IF($E140="","",($E140-(WEEKDAY($E140,2)-1)-14)+17/24)</f>
        <v/>
      </c>
      <c r="I140" s="14">
        <f>IF($E140="","",$E140-(WEEKDAY($E140,2)-1))</f>
        <v/>
      </c>
      <c r="J140" s="16">
        <f>IF($E140="","",COUNTIF($I$4:$I$203,$I140))</f>
        <v/>
      </c>
    </row>
    <row r="141">
      <c r="A141" s="16" t="n"/>
      <c r="B141" s="16" t="n"/>
      <c r="C141" s="16" t="n"/>
      <c r="D141" s="16" t="n"/>
      <c r="E141" s="14" t="n"/>
      <c r="F141" s="14">
        <f>IF($E141="","",WORKDAY($E141,-1,設定!$E$4:$E$40))</f>
        <v/>
      </c>
      <c r="G141" s="14">
        <f>IF($E141="","",$E141+1)</f>
        <v/>
      </c>
      <c r="H141" s="15">
        <f>IF($E141="","",($E141-(WEEKDAY($E141,2)-1)-14)+17/24)</f>
        <v/>
      </c>
      <c r="I141" s="14">
        <f>IF($E141="","",$E141-(WEEKDAY($E141,2)-1))</f>
        <v/>
      </c>
      <c r="J141" s="16">
        <f>IF($E141="","",COUNTIF($I$4:$I$203,$I141))</f>
        <v/>
      </c>
    </row>
    <row r="142">
      <c r="A142" s="16" t="n"/>
      <c r="B142" s="16" t="n"/>
      <c r="C142" s="16" t="n"/>
      <c r="D142" s="16" t="n"/>
      <c r="E142" s="14" t="n"/>
      <c r="F142" s="14">
        <f>IF($E142="","",WORKDAY($E142,-1,設定!$E$4:$E$40))</f>
        <v/>
      </c>
      <c r="G142" s="14">
        <f>IF($E142="","",$E142+1)</f>
        <v/>
      </c>
      <c r="H142" s="15">
        <f>IF($E142="","",($E142-(WEEKDAY($E142,2)-1)-14)+17/24)</f>
        <v/>
      </c>
      <c r="I142" s="14">
        <f>IF($E142="","",$E142-(WEEKDAY($E142,2)-1))</f>
        <v/>
      </c>
      <c r="J142" s="16">
        <f>IF($E142="","",COUNTIF($I$4:$I$203,$I142))</f>
        <v/>
      </c>
    </row>
    <row r="143">
      <c r="A143" s="16" t="n"/>
      <c r="B143" s="16" t="n"/>
      <c r="C143" s="16" t="n"/>
      <c r="D143" s="16" t="n"/>
      <c r="E143" s="14" t="n"/>
      <c r="F143" s="14">
        <f>IF($E143="","",WORKDAY($E143,-1,設定!$E$4:$E$40))</f>
        <v/>
      </c>
      <c r="G143" s="14">
        <f>IF($E143="","",$E143+1)</f>
        <v/>
      </c>
      <c r="H143" s="15">
        <f>IF($E143="","",($E143-(WEEKDAY($E143,2)-1)-14)+17/24)</f>
        <v/>
      </c>
      <c r="I143" s="14">
        <f>IF($E143="","",$E143-(WEEKDAY($E143,2)-1))</f>
        <v/>
      </c>
      <c r="J143" s="16">
        <f>IF($E143="","",COUNTIF($I$4:$I$203,$I143))</f>
        <v/>
      </c>
    </row>
    <row r="144">
      <c r="A144" s="16" t="n"/>
      <c r="B144" s="16" t="n"/>
      <c r="C144" s="16" t="n"/>
      <c r="D144" s="16" t="n"/>
      <c r="E144" s="14" t="n"/>
      <c r="F144" s="14">
        <f>IF($E144="","",WORKDAY($E144,-1,設定!$E$4:$E$40))</f>
        <v/>
      </c>
      <c r="G144" s="14">
        <f>IF($E144="","",$E144+1)</f>
        <v/>
      </c>
      <c r="H144" s="15">
        <f>IF($E144="","",($E144-(WEEKDAY($E144,2)-1)-14)+17/24)</f>
        <v/>
      </c>
      <c r="I144" s="14">
        <f>IF($E144="","",$E144-(WEEKDAY($E144,2)-1))</f>
        <v/>
      </c>
      <c r="J144" s="16">
        <f>IF($E144="","",COUNTIF($I$4:$I$203,$I144))</f>
        <v/>
      </c>
    </row>
    <row r="145">
      <c r="A145" s="16" t="n"/>
      <c r="B145" s="16" t="n"/>
      <c r="C145" s="16" t="n"/>
      <c r="D145" s="16" t="n"/>
      <c r="E145" s="14" t="n"/>
      <c r="F145" s="14">
        <f>IF($E145="","",WORKDAY($E145,-1,設定!$E$4:$E$40))</f>
        <v/>
      </c>
      <c r="G145" s="14">
        <f>IF($E145="","",$E145+1)</f>
        <v/>
      </c>
      <c r="H145" s="15">
        <f>IF($E145="","",($E145-(WEEKDAY($E145,2)-1)-14)+17/24)</f>
        <v/>
      </c>
      <c r="I145" s="14">
        <f>IF($E145="","",$E145-(WEEKDAY($E145,2)-1))</f>
        <v/>
      </c>
      <c r="J145" s="16">
        <f>IF($E145="","",COUNTIF($I$4:$I$203,$I145))</f>
        <v/>
      </c>
    </row>
    <row r="146">
      <c r="A146" s="16" t="n"/>
      <c r="B146" s="16" t="n"/>
      <c r="C146" s="16" t="n"/>
      <c r="D146" s="16" t="n"/>
      <c r="E146" s="14" t="n"/>
      <c r="F146" s="14">
        <f>IF($E146="","",WORKDAY($E146,-1,設定!$E$4:$E$40))</f>
        <v/>
      </c>
      <c r="G146" s="14">
        <f>IF($E146="","",$E146+1)</f>
        <v/>
      </c>
      <c r="H146" s="15">
        <f>IF($E146="","",($E146-(WEEKDAY($E146,2)-1)-14)+17/24)</f>
        <v/>
      </c>
      <c r="I146" s="14">
        <f>IF($E146="","",$E146-(WEEKDAY($E146,2)-1))</f>
        <v/>
      </c>
      <c r="J146" s="16">
        <f>IF($E146="","",COUNTIF($I$4:$I$203,$I146))</f>
        <v/>
      </c>
    </row>
    <row r="147">
      <c r="A147" s="16" t="n"/>
      <c r="B147" s="16" t="n"/>
      <c r="C147" s="16" t="n"/>
      <c r="D147" s="16" t="n"/>
      <c r="E147" s="14" t="n"/>
      <c r="F147" s="14">
        <f>IF($E147="","",WORKDAY($E147,-1,設定!$E$4:$E$40))</f>
        <v/>
      </c>
      <c r="G147" s="14">
        <f>IF($E147="","",$E147+1)</f>
        <v/>
      </c>
      <c r="H147" s="15">
        <f>IF($E147="","",($E147-(WEEKDAY($E147,2)-1)-14)+17/24)</f>
        <v/>
      </c>
      <c r="I147" s="14">
        <f>IF($E147="","",$E147-(WEEKDAY($E147,2)-1))</f>
        <v/>
      </c>
      <c r="J147" s="16">
        <f>IF($E147="","",COUNTIF($I$4:$I$203,$I147))</f>
        <v/>
      </c>
    </row>
    <row r="148">
      <c r="A148" s="16" t="n"/>
      <c r="B148" s="16" t="n"/>
      <c r="C148" s="16" t="n"/>
      <c r="D148" s="16" t="n"/>
      <c r="E148" s="14" t="n"/>
      <c r="F148" s="14">
        <f>IF($E148="","",WORKDAY($E148,-1,設定!$E$4:$E$40))</f>
        <v/>
      </c>
      <c r="G148" s="14">
        <f>IF($E148="","",$E148+1)</f>
        <v/>
      </c>
      <c r="H148" s="15">
        <f>IF($E148="","",($E148-(WEEKDAY($E148,2)-1)-14)+17/24)</f>
        <v/>
      </c>
      <c r="I148" s="14">
        <f>IF($E148="","",$E148-(WEEKDAY($E148,2)-1))</f>
        <v/>
      </c>
      <c r="J148" s="16">
        <f>IF($E148="","",COUNTIF($I$4:$I$203,$I148))</f>
        <v/>
      </c>
    </row>
    <row r="149">
      <c r="A149" s="16" t="n"/>
      <c r="B149" s="16" t="n"/>
      <c r="C149" s="16" t="n"/>
      <c r="D149" s="16" t="n"/>
      <c r="E149" s="14" t="n"/>
      <c r="F149" s="14">
        <f>IF($E149="","",WORKDAY($E149,-1,設定!$E$4:$E$40))</f>
        <v/>
      </c>
      <c r="G149" s="14">
        <f>IF($E149="","",$E149+1)</f>
        <v/>
      </c>
      <c r="H149" s="15">
        <f>IF($E149="","",($E149-(WEEKDAY($E149,2)-1)-14)+17/24)</f>
        <v/>
      </c>
      <c r="I149" s="14">
        <f>IF($E149="","",$E149-(WEEKDAY($E149,2)-1))</f>
        <v/>
      </c>
      <c r="J149" s="16">
        <f>IF($E149="","",COUNTIF($I$4:$I$203,$I149))</f>
        <v/>
      </c>
    </row>
    <row r="150">
      <c r="A150" s="16" t="n"/>
      <c r="B150" s="16" t="n"/>
      <c r="C150" s="16" t="n"/>
      <c r="D150" s="16" t="n"/>
      <c r="E150" s="14" t="n"/>
      <c r="F150" s="14">
        <f>IF($E150="","",WORKDAY($E150,-1,設定!$E$4:$E$40))</f>
        <v/>
      </c>
      <c r="G150" s="14">
        <f>IF($E150="","",$E150+1)</f>
        <v/>
      </c>
      <c r="H150" s="15">
        <f>IF($E150="","",($E150-(WEEKDAY($E150,2)-1)-14)+17/24)</f>
        <v/>
      </c>
      <c r="I150" s="14">
        <f>IF($E150="","",$E150-(WEEKDAY($E150,2)-1))</f>
        <v/>
      </c>
      <c r="J150" s="16">
        <f>IF($E150="","",COUNTIF($I$4:$I$203,$I150))</f>
        <v/>
      </c>
    </row>
    <row r="151">
      <c r="A151" s="16" t="n"/>
      <c r="B151" s="16" t="n"/>
      <c r="C151" s="16" t="n"/>
      <c r="D151" s="16" t="n"/>
      <c r="E151" s="14" t="n"/>
      <c r="F151" s="14">
        <f>IF($E151="","",WORKDAY($E151,-1,設定!$E$4:$E$40))</f>
        <v/>
      </c>
      <c r="G151" s="14">
        <f>IF($E151="","",$E151+1)</f>
        <v/>
      </c>
      <c r="H151" s="15">
        <f>IF($E151="","",($E151-(WEEKDAY($E151,2)-1)-14)+17/24)</f>
        <v/>
      </c>
      <c r="I151" s="14">
        <f>IF($E151="","",$E151-(WEEKDAY($E151,2)-1))</f>
        <v/>
      </c>
      <c r="J151" s="16">
        <f>IF($E151="","",COUNTIF($I$4:$I$203,$I151))</f>
        <v/>
      </c>
    </row>
    <row r="152">
      <c r="A152" s="16" t="n"/>
      <c r="B152" s="16" t="n"/>
      <c r="C152" s="16" t="n"/>
      <c r="D152" s="16" t="n"/>
      <c r="E152" s="14" t="n"/>
      <c r="F152" s="14">
        <f>IF($E152="","",WORKDAY($E152,-1,設定!$E$4:$E$40))</f>
        <v/>
      </c>
      <c r="G152" s="14">
        <f>IF($E152="","",$E152+1)</f>
        <v/>
      </c>
      <c r="H152" s="15">
        <f>IF($E152="","",($E152-(WEEKDAY($E152,2)-1)-14)+17/24)</f>
        <v/>
      </c>
      <c r="I152" s="14">
        <f>IF($E152="","",$E152-(WEEKDAY($E152,2)-1))</f>
        <v/>
      </c>
      <c r="J152" s="16">
        <f>IF($E152="","",COUNTIF($I$4:$I$203,$I152))</f>
        <v/>
      </c>
    </row>
    <row r="153">
      <c r="A153" s="16" t="n"/>
      <c r="B153" s="16" t="n"/>
      <c r="C153" s="16" t="n"/>
      <c r="D153" s="16" t="n"/>
      <c r="E153" s="14" t="n"/>
      <c r="F153" s="14">
        <f>IF($E153="","",WORKDAY($E153,-1,設定!$E$4:$E$40))</f>
        <v/>
      </c>
      <c r="G153" s="14">
        <f>IF($E153="","",$E153+1)</f>
        <v/>
      </c>
      <c r="H153" s="15">
        <f>IF($E153="","",($E153-(WEEKDAY($E153,2)-1)-14)+17/24)</f>
        <v/>
      </c>
      <c r="I153" s="14">
        <f>IF($E153="","",$E153-(WEEKDAY($E153,2)-1))</f>
        <v/>
      </c>
      <c r="J153" s="16">
        <f>IF($E153="","",COUNTIF($I$4:$I$203,$I153))</f>
        <v/>
      </c>
    </row>
    <row r="154">
      <c r="A154" s="16" t="n"/>
      <c r="B154" s="16" t="n"/>
      <c r="C154" s="16" t="n"/>
      <c r="D154" s="16" t="n"/>
      <c r="E154" s="14" t="n"/>
      <c r="F154" s="14">
        <f>IF($E154="","",WORKDAY($E154,-1,設定!$E$4:$E$40))</f>
        <v/>
      </c>
      <c r="G154" s="14">
        <f>IF($E154="","",$E154+1)</f>
        <v/>
      </c>
      <c r="H154" s="15">
        <f>IF($E154="","",($E154-(WEEKDAY($E154,2)-1)-14)+17/24)</f>
        <v/>
      </c>
      <c r="I154" s="14">
        <f>IF($E154="","",$E154-(WEEKDAY($E154,2)-1))</f>
        <v/>
      </c>
      <c r="J154" s="16">
        <f>IF($E154="","",COUNTIF($I$4:$I$203,$I154))</f>
        <v/>
      </c>
    </row>
    <row r="155">
      <c r="A155" s="16" t="n"/>
      <c r="B155" s="16" t="n"/>
      <c r="C155" s="16" t="n"/>
      <c r="D155" s="16" t="n"/>
      <c r="E155" s="14" t="n"/>
      <c r="F155" s="14">
        <f>IF($E155="","",WORKDAY($E155,-1,設定!$E$4:$E$40))</f>
        <v/>
      </c>
      <c r="G155" s="14">
        <f>IF($E155="","",$E155+1)</f>
        <v/>
      </c>
      <c r="H155" s="15">
        <f>IF($E155="","",($E155-(WEEKDAY($E155,2)-1)-14)+17/24)</f>
        <v/>
      </c>
      <c r="I155" s="14">
        <f>IF($E155="","",$E155-(WEEKDAY($E155,2)-1))</f>
        <v/>
      </c>
      <c r="J155" s="16">
        <f>IF($E155="","",COUNTIF($I$4:$I$203,$I155))</f>
        <v/>
      </c>
    </row>
    <row r="156">
      <c r="A156" s="16" t="n"/>
      <c r="B156" s="16" t="n"/>
      <c r="C156" s="16" t="n"/>
      <c r="D156" s="16" t="n"/>
      <c r="E156" s="14" t="n"/>
      <c r="F156" s="14">
        <f>IF($E156="","",WORKDAY($E156,-1,設定!$E$4:$E$40))</f>
        <v/>
      </c>
      <c r="G156" s="14">
        <f>IF($E156="","",$E156+1)</f>
        <v/>
      </c>
      <c r="H156" s="15">
        <f>IF($E156="","",($E156-(WEEKDAY($E156,2)-1)-14)+17/24)</f>
        <v/>
      </c>
      <c r="I156" s="14">
        <f>IF($E156="","",$E156-(WEEKDAY($E156,2)-1))</f>
        <v/>
      </c>
      <c r="J156" s="16">
        <f>IF($E156="","",COUNTIF($I$4:$I$203,$I156))</f>
        <v/>
      </c>
    </row>
    <row r="157">
      <c r="A157" s="16" t="n"/>
      <c r="B157" s="16" t="n"/>
      <c r="C157" s="16" t="n"/>
      <c r="D157" s="16" t="n"/>
      <c r="E157" s="14" t="n"/>
      <c r="F157" s="14">
        <f>IF($E157="","",WORKDAY($E157,-1,設定!$E$4:$E$40))</f>
        <v/>
      </c>
      <c r="G157" s="14">
        <f>IF($E157="","",$E157+1)</f>
        <v/>
      </c>
      <c r="H157" s="15">
        <f>IF($E157="","",($E157-(WEEKDAY($E157,2)-1)-14)+17/24)</f>
        <v/>
      </c>
      <c r="I157" s="14">
        <f>IF($E157="","",$E157-(WEEKDAY($E157,2)-1))</f>
        <v/>
      </c>
      <c r="J157" s="16">
        <f>IF($E157="","",COUNTIF($I$4:$I$203,$I157))</f>
        <v/>
      </c>
    </row>
    <row r="158">
      <c r="A158" s="16" t="n"/>
      <c r="B158" s="16" t="n"/>
      <c r="C158" s="16" t="n"/>
      <c r="D158" s="16" t="n"/>
      <c r="E158" s="14" t="n"/>
      <c r="F158" s="14">
        <f>IF($E158="","",WORKDAY($E158,-1,設定!$E$4:$E$40))</f>
        <v/>
      </c>
      <c r="G158" s="14">
        <f>IF($E158="","",$E158+1)</f>
        <v/>
      </c>
      <c r="H158" s="15">
        <f>IF($E158="","",($E158-(WEEKDAY($E158,2)-1)-14)+17/24)</f>
        <v/>
      </c>
      <c r="I158" s="14">
        <f>IF($E158="","",$E158-(WEEKDAY($E158,2)-1))</f>
        <v/>
      </c>
      <c r="J158" s="16">
        <f>IF($E158="","",COUNTIF($I$4:$I$203,$I158))</f>
        <v/>
      </c>
    </row>
    <row r="159">
      <c r="A159" s="16" t="n"/>
      <c r="B159" s="16" t="n"/>
      <c r="C159" s="16" t="n"/>
      <c r="D159" s="16" t="n"/>
      <c r="E159" s="14" t="n"/>
      <c r="F159" s="14">
        <f>IF($E159="","",WORKDAY($E159,-1,設定!$E$4:$E$40))</f>
        <v/>
      </c>
      <c r="G159" s="14">
        <f>IF($E159="","",$E159+1)</f>
        <v/>
      </c>
      <c r="H159" s="15">
        <f>IF($E159="","",($E159-(WEEKDAY($E159,2)-1)-14)+17/24)</f>
        <v/>
      </c>
      <c r="I159" s="14">
        <f>IF($E159="","",$E159-(WEEKDAY($E159,2)-1))</f>
        <v/>
      </c>
      <c r="J159" s="16">
        <f>IF($E159="","",COUNTIF($I$4:$I$203,$I159))</f>
        <v/>
      </c>
    </row>
    <row r="160">
      <c r="A160" s="16" t="n"/>
      <c r="B160" s="16" t="n"/>
      <c r="C160" s="16" t="n"/>
      <c r="D160" s="16" t="n"/>
      <c r="E160" s="14" t="n"/>
      <c r="F160" s="14">
        <f>IF($E160="","",WORKDAY($E160,-1,設定!$E$4:$E$40))</f>
        <v/>
      </c>
      <c r="G160" s="14">
        <f>IF($E160="","",$E160+1)</f>
        <v/>
      </c>
      <c r="H160" s="15">
        <f>IF($E160="","",($E160-(WEEKDAY($E160,2)-1)-14)+17/24)</f>
        <v/>
      </c>
      <c r="I160" s="14">
        <f>IF($E160="","",$E160-(WEEKDAY($E160,2)-1))</f>
        <v/>
      </c>
      <c r="J160" s="16">
        <f>IF($E160="","",COUNTIF($I$4:$I$203,$I160))</f>
        <v/>
      </c>
    </row>
    <row r="161">
      <c r="A161" s="16" t="n"/>
      <c r="B161" s="16" t="n"/>
      <c r="C161" s="16" t="n"/>
      <c r="D161" s="16" t="n"/>
      <c r="E161" s="14" t="n"/>
      <c r="F161" s="14">
        <f>IF($E161="","",WORKDAY($E161,-1,設定!$E$4:$E$40))</f>
        <v/>
      </c>
      <c r="G161" s="14">
        <f>IF($E161="","",$E161+1)</f>
        <v/>
      </c>
      <c r="H161" s="15">
        <f>IF($E161="","",($E161-(WEEKDAY($E161,2)-1)-14)+17/24)</f>
        <v/>
      </c>
      <c r="I161" s="14">
        <f>IF($E161="","",$E161-(WEEKDAY($E161,2)-1))</f>
        <v/>
      </c>
      <c r="J161" s="16">
        <f>IF($E161="","",COUNTIF($I$4:$I$203,$I161))</f>
        <v/>
      </c>
    </row>
    <row r="162">
      <c r="A162" s="16" t="n"/>
      <c r="B162" s="16" t="n"/>
      <c r="C162" s="16" t="n"/>
      <c r="D162" s="16" t="n"/>
      <c r="E162" s="14" t="n"/>
      <c r="F162" s="14">
        <f>IF($E162="","",WORKDAY($E162,-1,設定!$E$4:$E$40))</f>
        <v/>
      </c>
      <c r="G162" s="14">
        <f>IF($E162="","",$E162+1)</f>
        <v/>
      </c>
      <c r="H162" s="15">
        <f>IF($E162="","",($E162-(WEEKDAY($E162,2)-1)-14)+17/24)</f>
        <v/>
      </c>
      <c r="I162" s="14">
        <f>IF($E162="","",$E162-(WEEKDAY($E162,2)-1))</f>
        <v/>
      </c>
      <c r="J162" s="16">
        <f>IF($E162="","",COUNTIF($I$4:$I$203,$I162))</f>
        <v/>
      </c>
    </row>
    <row r="163">
      <c r="A163" s="16" t="n"/>
      <c r="B163" s="16" t="n"/>
      <c r="C163" s="16" t="n"/>
      <c r="D163" s="16" t="n"/>
      <c r="E163" s="14" t="n"/>
      <c r="F163" s="14">
        <f>IF($E163="","",WORKDAY($E163,-1,設定!$E$4:$E$40))</f>
        <v/>
      </c>
      <c r="G163" s="14">
        <f>IF($E163="","",$E163+1)</f>
        <v/>
      </c>
      <c r="H163" s="15">
        <f>IF($E163="","",($E163-(WEEKDAY($E163,2)-1)-14)+17/24)</f>
        <v/>
      </c>
      <c r="I163" s="14">
        <f>IF($E163="","",$E163-(WEEKDAY($E163,2)-1))</f>
        <v/>
      </c>
      <c r="J163" s="16">
        <f>IF($E163="","",COUNTIF($I$4:$I$203,$I163))</f>
        <v/>
      </c>
    </row>
    <row r="164">
      <c r="A164" s="16" t="n"/>
      <c r="B164" s="16" t="n"/>
      <c r="C164" s="16" t="n"/>
      <c r="D164" s="16" t="n"/>
      <c r="E164" s="14" t="n"/>
      <c r="F164" s="14">
        <f>IF($E164="","",WORKDAY($E164,-1,設定!$E$4:$E$40))</f>
        <v/>
      </c>
      <c r="G164" s="14">
        <f>IF($E164="","",$E164+1)</f>
        <v/>
      </c>
      <c r="H164" s="15">
        <f>IF($E164="","",($E164-(WEEKDAY($E164,2)-1)-14)+17/24)</f>
        <v/>
      </c>
      <c r="I164" s="14">
        <f>IF($E164="","",$E164-(WEEKDAY($E164,2)-1))</f>
        <v/>
      </c>
      <c r="J164" s="16">
        <f>IF($E164="","",COUNTIF($I$4:$I$203,$I164))</f>
        <v/>
      </c>
    </row>
    <row r="165">
      <c r="A165" s="16" t="n"/>
      <c r="B165" s="16" t="n"/>
      <c r="C165" s="16" t="n"/>
      <c r="D165" s="16" t="n"/>
      <c r="E165" s="14" t="n"/>
      <c r="F165" s="14">
        <f>IF($E165="","",WORKDAY($E165,-1,設定!$E$4:$E$40))</f>
        <v/>
      </c>
      <c r="G165" s="14">
        <f>IF($E165="","",$E165+1)</f>
        <v/>
      </c>
      <c r="H165" s="15">
        <f>IF($E165="","",($E165-(WEEKDAY($E165,2)-1)-14)+17/24)</f>
        <v/>
      </c>
      <c r="I165" s="14">
        <f>IF($E165="","",$E165-(WEEKDAY($E165,2)-1))</f>
        <v/>
      </c>
      <c r="J165" s="16">
        <f>IF($E165="","",COUNTIF($I$4:$I$203,$I165))</f>
        <v/>
      </c>
    </row>
    <row r="166">
      <c r="A166" s="16" t="n"/>
      <c r="B166" s="16" t="n"/>
      <c r="C166" s="16" t="n"/>
      <c r="D166" s="16" t="n"/>
      <c r="E166" s="14" t="n"/>
      <c r="F166" s="14">
        <f>IF($E166="","",WORKDAY($E166,-1,設定!$E$4:$E$40))</f>
        <v/>
      </c>
      <c r="G166" s="14">
        <f>IF($E166="","",$E166+1)</f>
        <v/>
      </c>
      <c r="H166" s="15">
        <f>IF($E166="","",($E166-(WEEKDAY($E166,2)-1)-14)+17/24)</f>
        <v/>
      </c>
      <c r="I166" s="14">
        <f>IF($E166="","",$E166-(WEEKDAY($E166,2)-1))</f>
        <v/>
      </c>
      <c r="J166" s="16">
        <f>IF($E166="","",COUNTIF($I$4:$I$203,$I166))</f>
        <v/>
      </c>
    </row>
    <row r="167">
      <c r="A167" s="16" t="n"/>
      <c r="B167" s="16" t="n"/>
      <c r="C167" s="16" t="n"/>
      <c r="D167" s="16" t="n"/>
      <c r="E167" s="14" t="n"/>
      <c r="F167" s="14">
        <f>IF($E167="","",WORKDAY($E167,-1,設定!$E$4:$E$40))</f>
        <v/>
      </c>
      <c r="G167" s="14">
        <f>IF($E167="","",$E167+1)</f>
        <v/>
      </c>
      <c r="H167" s="15">
        <f>IF($E167="","",($E167-(WEEKDAY($E167,2)-1)-14)+17/24)</f>
        <v/>
      </c>
      <c r="I167" s="14">
        <f>IF($E167="","",$E167-(WEEKDAY($E167,2)-1))</f>
        <v/>
      </c>
      <c r="J167" s="16">
        <f>IF($E167="","",COUNTIF($I$4:$I$203,$I167))</f>
        <v/>
      </c>
    </row>
    <row r="168">
      <c r="A168" s="16" t="n"/>
      <c r="B168" s="16" t="n"/>
      <c r="C168" s="16" t="n"/>
      <c r="D168" s="16" t="n"/>
      <c r="E168" s="14" t="n"/>
      <c r="F168" s="14">
        <f>IF($E168="","",WORKDAY($E168,-1,設定!$E$4:$E$40))</f>
        <v/>
      </c>
      <c r="G168" s="14">
        <f>IF($E168="","",$E168+1)</f>
        <v/>
      </c>
      <c r="H168" s="15">
        <f>IF($E168="","",($E168-(WEEKDAY($E168,2)-1)-14)+17/24)</f>
        <v/>
      </c>
      <c r="I168" s="14">
        <f>IF($E168="","",$E168-(WEEKDAY($E168,2)-1))</f>
        <v/>
      </c>
      <c r="J168" s="16">
        <f>IF($E168="","",COUNTIF($I$4:$I$203,$I168))</f>
        <v/>
      </c>
    </row>
    <row r="169">
      <c r="A169" s="16" t="n"/>
      <c r="B169" s="16" t="n"/>
      <c r="C169" s="16" t="n"/>
      <c r="D169" s="16" t="n"/>
      <c r="E169" s="14" t="n"/>
      <c r="F169" s="14">
        <f>IF($E169="","",WORKDAY($E169,-1,設定!$E$4:$E$40))</f>
        <v/>
      </c>
      <c r="G169" s="14">
        <f>IF($E169="","",$E169+1)</f>
        <v/>
      </c>
      <c r="H169" s="15">
        <f>IF($E169="","",($E169-(WEEKDAY($E169,2)-1)-14)+17/24)</f>
        <v/>
      </c>
      <c r="I169" s="14">
        <f>IF($E169="","",$E169-(WEEKDAY($E169,2)-1))</f>
        <v/>
      </c>
      <c r="J169" s="16">
        <f>IF($E169="","",COUNTIF($I$4:$I$203,$I169))</f>
        <v/>
      </c>
    </row>
    <row r="170">
      <c r="A170" s="16" t="n"/>
      <c r="B170" s="16" t="n"/>
      <c r="C170" s="16" t="n"/>
      <c r="D170" s="16" t="n"/>
      <c r="E170" s="14" t="n"/>
      <c r="F170" s="14">
        <f>IF($E170="","",WORKDAY($E170,-1,設定!$E$4:$E$40))</f>
        <v/>
      </c>
      <c r="G170" s="14">
        <f>IF($E170="","",$E170+1)</f>
        <v/>
      </c>
      <c r="H170" s="15">
        <f>IF($E170="","",($E170-(WEEKDAY($E170,2)-1)-14)+17/24)</f>
        <v/>
      </c>
      <c r="I170" s="14">
        <f>IF($E170="","",$E170-(WEEKDAY($E170,2)-1))</f>
        <v/>
      </c>
      <c r="J170" s="16">
        <f>IF($E170="","",COUNTIF($I$4:$I$203,$I170))</f>
        <v/>
      </c>
    </row>
    <row r="171">
      <c r="A171" s="16" t="n"/>
      <c r="B171" s="16" t="n"/>
      <c r="C171" s="16" t="n"/>
      <c r="D171" s="16" t="n"/>
      <c r="E171" s="14" t="n"/>
      <c r="F171" s="14">
        <f>IF($E171="","",WORKDAY($E171,-1,設定!$E$4:$E$40))</f>
        <v/>
      </c>
      <c r="G171" s="14">
        <f>IF($E171="","",$E171+1)</f>
        <v/>
      </c>
      <c r="H171" s="15">
        <f>IF($E171="","",($E171-(WEEKDAY($E171,2)-1)-14)+17/24)</f>
        <v/>
      </c>
      <c r="I171" s="14">
        <f>IF($E171="","",$E171-(WEEKDAY($E171,2)-1))</f>
        <v/>
      </c>
      <c r="J171" s="16">
        <f>IF($E171="","",COUNTIF($I$4:$I$203,$I171))</f>
        <v/>
      </c>
    </row>
    <row r="172">
      <c r="A172" s="16" t="n"/>
      <c r="B172" s="16" t="n"/>
      <c r="C172" s="16" t="n"/>
      <c r="D172" s="16" t="n"/>
      <c r="E172" s="14" t="n"/>
      <c r="F172" s="14">
        <f>IF($E172="","",WORKDAY($E172,-1,設定!$E$4:$E$40))</f>
        <v/>
      </c>
      <c r="G172" s="14">
        <f>IF($E172="","",$E172+1)</f>
        <v/>
      </c>
      <c r="H172" s="15">
        <f>IF($E172="","",($E172-(WEEKDAY($E172,2)-1)-14)+17/24)</f>
        <v/>
      </c>
      <c r="I172" s="14">
        <f>IF($E172="","",$E172-(WEEKDAY($E172,2)-1))</f>
        <v/>
      </c>
      <c r="J172" s="16">
        <f>IF($E172="","",COUNTIF($I$4:$I$203,$I172))</f>
        <v/>
      </c>
    </row>
    <row r="173">
      <c r="A173" s="16" t="n"/>
      <c r="B173" s="16" t="n"/>
      <c r="C173" s="16" t="n"/>
      <c r="D173" s="16" t="n"/>
      <c r="E173" s="14" t="n"/>
      <c r="F173" s="14">
        <f>IF($E173="","",WORKDAY($E173,-1,設定!$E$4:$E$40))</f>
        <v/>
      </c>
      <c r="G173" s="14">
        <f>IF($E173="","",$E173+1)</f>
        <v/>
      </c>
      <c r="H173" s="15">
        <f>IF($E173="","",($E173-(WEEKDAY($E173,2)-1)-14)+17/24)</f>
        <v/>
      </c>
      <c r="I173" s="14">
        <f>IF($E173="","",$E173-(WEEKDAY($E173,2)-1))</f>
        <v/>
      </c>
      <c r="J173" s="16">
        <f>IF($E173="","",COUNTIF($I$4:$I$203,$I173))</f>
        <v/>
      </c>
    </row>
    <row r="174">
      <c r="A174" s="16" t="n"/>
      <c r="B174" s="16" t="n"/>
      <c r="C174" s="16" t="n"/>
      <c r="D174" s="16" t="n"/>
      <c r="E174" s="14" t="n"/>
      <c r="F174" s="14">
        <f>IF($E174="","",WORKDAY($E174,-1,設定!$E$4:$E$40))</f>
        <v/>
      </c>
      <c r="G174" s="14">
        <f>IF($E174="","",$E174+1)</f>
        <v/>
      </c>
      <c r="H174" s="15">
        <f>IF($E174="","",($E174-(WEEKDAY($E174,2)-1)-14)+17/24)</f>
        <v/>
      </c>
      <c r="I174" s="14">
        <f>IF($E174="","",$E174-(WEEKDAY($E174,2)-1))</f>
        <v/>
      </c>
      <c r="J174" s="16">
        <f>IF($E174="","",COUNTIF($I$4:$I$203,$I174))</f>
        <v/>
      </c>
    </row>
    <row r="175">
      <c r="A175" s="16" t="n"/>
      <c r="B175" s="16" t="n"/>
      <c r="C175" s="16" t="n"/>
      <c r="D175" s="16" t="n"/>
      <c r="E175" s="14" t="n"/>
      <c r="F175" s="14">
        <f>IF($E175="","",WORKDAY($E175,-1,設定!$E$4:$E$40))</f>
        <v/>
      </c>
      <c r="G175" s="14">
        <f>IF($E175="","",$E175+1)</f>
        <v/>
      </c>
      <c r="H175" s="15">
        <f>IF($E175="","",($E175-(WEEKDAY($E175,2)-1)-14)+17/24)</f>
        <v/>
      </c>
      <c r="I175" s="14">
        <f>IF($E175="","",$E175-(WEEKDAY($E175,2)-1))</f>
        <v/>
      </c>
      <c r="J175" s="16">
        <f>IF($E175="","",COUNTIF($I$4:$I$203,$I175))</f>
        <v/>
      </c>
    </row>
    <row r="176">
      <c r="A176" s="16" t="n"/>
      <c r="B176" s="16" t="n"/>
      <c r="C176" s="16" t="n"/>
      <c r="D176" s="16" t="n"/>
      <c r="E176" s="14" t="n"/>
      <c r="F176" s="14">
        <f>IF($E176="","",WORKDAY($E176,-1,設定!$E$4:$E$40))</f>
        <v/>
      </c>
      <c r="G176" s="14">
        <f>IF($E176="","",$E176+1)</f>
        <v/>
      </c>
      <c r="H176" s="15">
        <f>IF($E176="","",($E176-(WEEKDAY($E176,2)-1)-14)+17/24)</f>
        <v/>
      </c>
      <c r="I176" s="14">
        <f>IF($E176="","",$E176-(WEEKDAY($E176,2)-1))</f>
        <v/>
      </c>
      <c r="J176" s="16">
        <f>IF($E176="","",COUNTIF($I$4:$I$203,$I176))</f>
        <v/>
      </c>
    </row>
    <row r="177">
      <c r="A177" s="16" t="n"/>
      <c r="B177" s="16" t="n"/>
      <c r="C177" s="16" t="n"/>
      <c r="D177" s="16" t="n"/>
      <c r="E177" s="14" t="n"/>
      <c r="F177" s="14">
        <f>IF($E177="","",WORKDAY($E177,-1,設定!$E$4:$E$40))</f>
        <v/>
      </c>
      <c r="G177" s="14">
        <f>IF($E177="","",$E177+1)</f>
        <v/>
      </c>
      <c r="H177" s="15">
        <f>IF($E177="","",($E177-(WEEKDAY($E177,2)-1)-14)+17/24)</f>
        <v/>
      </c>
      <c r="I177" s="14">
        <f>IF($E177="","",$E177-(WEEKDAY($E177,2)-1))</f>
        <v/>
      </c>
      <c r="J177" s="16">
        <f>IF($E177="","",COUNTIF($I$4:$I$203,$I177))</f>
        <v/>
      </c>
    </row>
    <row r="178">
      <c r="A178" s="16" t="n"/>
      <c r="B178" s="16" t="n"/>
      <c r="C178" s="16" t="n"/>
      <c r="D178" s="16" t="n"/>
      <c r="E178" s="14" t="n"/>
      <c r="F178" s="14">
        <f>IF($E178="","",WORKDAY($E178,-1,設定!$E$4:$E$40))</f>
        <v/>
      </c>
      <c r="G178" s="14">
        <f>IF($E178="","",$E178+1)</f>
        <v/>
      </c>
      <c r="H178" s="15">
        <f>IF($E178="","",($E178-(WEEKDAY($E178,2)-1)-14)+17/24)</f>
        <v/>
      </c>
      <c r="I178" s="14">
        <f>IF($E178="","",$E178-(WEEKDAY($E178,2)-1))</f>
        <v/>
      </c>
      <c r="J178" s="16">
        <f>IF($E178="","",COUNTIF($I$4:$I$203,$I178))</f>
        <v/>
      </c>
    </row>
    <row r="179">
      <c r="A179" s="16" t="n"/>
      <c r="B179" s="16" t="n"/>
      <c r="C179" s="16" t="n"/>
      <c r="D179" s="16" t="n"/>
      <c r="E179" s="14" t="n"/>
      <c r="F179" s="14">
        <f>IF($E179="","",WORKDAY($E179,-1,設定!$E$4:$E$40))</f>
        <v/>
      </c>
      <c r="G179" s="14">
        <f>IF($E179="","",$E179+1)</f>
        <v/>
      </c>
      <c r="H179" s="15">
        <f>IF($E179="","",($E179-(WEEKDAY($E179,2)-1)-14)+17/24)</f>
        <v/>
      </c>
      <c r="I179" s="14">
        <f>IF($E179="","",$E179-(WEEKDAY($E179,2)-1))</f>
        <v/>
      </c>
      <c r="J179" s="16">
        <f>IF($E179="","",COUNTIF($I$4:$I$203,$I179))</f>
        <v/>
      </c>
    </row>
    <row r="180">
      <c r="A180" s="16" t="n"/>
      <c r="B180" s="16" t="n"/>
      <c r="C180" s="16" t="n"/>
      <c r="D180" s="16" t="n"/>
      <c r="E180" s="14" t="n"/>
      <c r="F180" s="14">
        <f>IF($E180="","",WORKDAY($E180,-1,設定!$E$4:$E$40))</f>
        <v/>
      </c>
      <c r="G180" s="14">
        <f>IF($E180="","",$E180+1)</f>
        <v/>
      </c>
      <c r="H180" s="15">
        <f>IF($E180="","",($E180-(WEEKDAY($E180,2)-1)-14)+17/24)</f>
        <v/>
      </c>
      <c r="I180" s="14">
        <f>IF($E180="","",$E180-(WEEKDAY($E180,2)-1))</f>
        <v/>
      </c>
      <c r="J180" s="16">
        <f>IF($E180="","",COUNTIF($I$4:$I$203,$I180))</f>
        <v/>
      </c>
    </row>
    <row r="181">
      <c r="A181" s="16" t="n"/>
      <c r="B181" s="16" t="n"/>
      <c r="C181" s="16" t="n"/>
      <c r="D181" s="16" t="n"/>
      <c r="E181" s="14" t="n"/>
      <c r="F181" s="14">
        <f>IF($E181="","",WORKDAY($E181,-1,設定!$E$4:$E$40))</f>
        <v/>
      </c>
      <c r="G181" s="14">
        <f>IF($E181="","",$E181+1)</f>
        <v/>
      </c>
      <c r="H181" s="15">
        <f>IF($E181="","",($E181-(WEEKDAY($E181,2)-1)-14)+17/24)</f>
        <v/>
      </c>
      <c r="I181" s="14">
        <f>IF($E181="","",$E181-(WEEKDAY($E181,2)-1))</f>
        <v/>
      </c>
      <c r="J181" s="16">
        <f>IF($E181="","",COUNTIF($I$4:$I$203,$I181))</f>
        <v/>
      </c>
    </row>
    <row r="182">
      <c r="A182" s="16" t="n"/>
      <c r="B182" s="16" t="n"/>
      <c r="C182" s="16" t="n"/>
      <c r="D182" s="16" t="n"/>
      <c r="E182" s="14" t="n"/>
      <c r="F182" s="14">
        <f>IF($E182="","",WORKDAY($E182,-1,設定!$E$4:$E$40))</f>
        <v/>
      </c>
      <c r="G182" s="14">
        <f>IF($E182="","",$E182+1)</f>
        <v/>
      </c>
      <c r="H182" s="15">
        <f>IF($E182="","",($E182-(WEEKDAY($E182,2)-1)-14)+17/24)</f>
        <v/>
      </c>
      <c r="I182" s="14">
        <f>IF($E182="","",$E182-(WEEKDAY($E182,2)-1))</f>
        <v/>
      </c>
      <c r="J182" s="16">
        <f>IF($E182="","",COUNTIF($I$4:$I$203,$I182))</f>
        <v/>
      </c>
    </row>
    <row r="183">
      <c r="A183" s="16" t="n"/>
      <c r="B183" s="16" t="n"/>
      <c r="C183" s="16" t="n"/>
      <c r="D183" s="16" t="n"/>
      <c r="E183" s="14" t="n"/>
      <c r="F183" s="14">
        <f>IF($E183="","",WORKDAY($E183,-1,設定!$E$4:$E$40))</f>
        <v/>
      </c>
      <c r="G183" s="14">
        <f>IF($E183="","",$E183+1)</f>
        <v/>
      </c>
      <c r="H183" s="15">
        <f>IF($E183="","",($E183-(WEEKDAY($E183,2)-1)-14)+17/24)</f>
        <v/>
      </c>
      <c r="I183" s="14">
        <f>IF($E183="","",$E183-(WEEKDAY($E183,2)-1))</f>
        <v/>
      </c>
      <c r="J183" s="16">
        <f>IF($E183="","",COUNTIF($I$4:$I$203,$I183))</f>
        <v/>
      </c>
    </row>
    <row r="184">
      <c r="A184" s="16" t="n"/>
      <c r="B184" s="16" t="n"/>
      <c r="C184" s="16" t="n"/>
      <c r="D184" s="16" t="n"/>
      <c r="E184" s="14" t="n"/>
      <c r="F184" s="14">
        <f>IF($E184="","",WORKDAY($E184,-1,設定!$E$4:$E$40))</f>
        <v/>
      </c>
      <c r="G184" s="14">
        <f>IF($E184="","",$E184+1)</f>
        <v/>
      </c>
      <c r="H184" s="15">
        <f>IF($E184="","",($E184-(WEEKDAY($E184,2)-1)-14)+17/24)</f>
        <v/>
      </c>
      <c r="I184" s="14">
        <f>IF($E184="","",$E184-(WEEKDAY($E184,2)-1))</f>
        <v/>
      </c>
      <c r="J184" s="16">
        <f>IF($E184="","",COUNTIF($I$4:$I$203,$I184))</f>
        <v/>
      </c>
    </row>
    <row r="185">
      <c r="A185" s="16" t="n"/>
      <c r="B185" s="16" t="n"/>
      <c r="C185" s="16" t="n"/>
      <c r="D185" s="16" t="n"/>
      <c r="E185" s="14" t="n"/>
      <c r="F185" s="14">
        <f>IF($E185="","",WORKDAY($E185,-1,設定!$E$4:$E$40))</f>
        <v/>
      </c>
      <c r="G185" s="14">
        <f>IF($E185="","",$E185+1)</f>
        <v/>
      </c>
      <c r="H185" s="15">
        <f>IF($E185="","",($E185-(WEEKDAY($E185,2)-1)-14)+17/24)</f>
        <v/>
      </c>
      <c r="I185" s="14">
        <f>IF($E185="","",$E185-(WEEKDAY($E185,2)-1))</f>
        <v/>
      </c>
      <c r="J185" s="16">
        <f>IF($E185="","",COUNTIF($I$4:$I$203,$I185))</f>
        <v/>
      </c>
    </row>
    <row r="186">
      <c r="A186" s="16" t="n"/>
      <c r="B186" s="16" t="n"/>
      <c r="C186" s="16" t="n"/>
      <c r="D186" s="16" t="n"/>
      <c r="E186" s="14" t="n"/>
      <c r="F186" s="14">
        <f>IF($E186="","",WORKDAY($E186,-1,設定!$E$4:$E$40))</f>
        <v/>
      </c>
      <c r="G186" s="14">
        <f>IF($E186="","",$E186+1)</f>
        <v/>
      </c>
      <c r="H186" s="15">
        <f>IF($E186="","",($E186-(WEEKDAY($E186,2)-1)-14)+17/24)</f>
        <v/>
      </c>
      <c r="I186" s="14">
        <f>IF($E186="","",$E186-(WEEKDAY($E186,2)-1))</f>
        <v/>
      </c>
      <c r="J186" s="16">
        <f>IF($E186="","",COUNTIF($I$4:$I$203,$I186))</f>
        <v/>
      </c>
    </row>
    <row r="187">
      <c r="A187" s="16" t="n"/>
      <c r="B187" s="16" t="n"/>
      <c r="C187" s="16" t="n"/>
      <c r="D187" s="16" t="n"/>
      <c r="E187" s="14" t="n"/>
      <c r="F187" s="14">
        <f>IF($E187="","",WORKDAY($E187,-1,設定!$E$4:$E$40))</f>
        <v/>
      </c>
      <c r="G187" s="14">
        <f>IF($E187="","",$E187+1)</f>
        <v/>
      </c>
      <c r="H187" s="15">
        <f>IF($E187="","",($E187-(WEEKDAY($E187,2)-1)-14)+17/24)</f>
        <v/>
      </c>
      <c r="I187" s="14">
        <f>IF($E187="","",$E187-(WEEKDAY($E187,2)-1))</f>
        <v/>
      </c>
      <c r="J187" s="16">
        <f>IF($E187="","",COUNTIF($I$4:$I$203,$I187))</f>
        <v/>
      </c>
    </row>
    <row r="188">
      <c r="A188" s="16" t="n"/>
      <c r="B188" s="16" t="n"/>
      <c r="C188" s="16" t="n"/>
      <c r="D188" s="16" t="n"/>
      <c r="E188" s="14" t="n"/>
      <c r="F188" s="14">
        <f>IF($E188="","",WORKDAY($E188,-1,設定!$E$4:$E$40))</f>
        <v/>
      </c>
      <c r="G188" s="14">
        <f>IF($E188="","",$E188+1)</f>
        <v/>
      </c>
      <c r="H188" s="15">
        <f>IF($E188="","",($E188-(WEEKDAY($E188,2)-1)-14)+17/24)</f>
        <v/>
      </c>
      <c r="I188" s="14">
        <f>IF($E188="","",$E188-(WEEKDAY($E188,2)-1))</f>
        <v/>
      </c>
      <c r="J188" s="16">
        <f>IF($E188="","",COUNTIF($I$4:$I$203,$I188))</f>
        <v/>
      </c>
    </row>
    <row r="189">
      <c r="A189" s="16" t="n"/>
      <c r="B189" s="16" t="n"/>
      <c r="C189" s="16" t="n"/>
      <c r="D189" s="16" t="n"/>
      <c r="E189" s="14" t="n"/>
      <c r="F189" s="14">
        <f>IF($E189="","",WORKDAY($E189,-1,設定!$E$4:$E$40))</f>
        <v/>
      </c>
      <c r="G189" s="14">
        <f>IF($E189="","",$E189+1)</f>
        <v/>
      </c>
      <c r="H189" s="15">
        <f>IF($E189="","",($E189-(WEEKDAY($E189,2)-1)-14)+17/24)</f>
        <v/>
      </c>
      <c r="I189" s="14">
        <f>IF($E189="","",$E189-(WEEKDAY($E189,2)-1))</f>
        <v/>
      </c>
      <c r="J189" s="16">
        <f>IF($E189="","",COUNTIF($I$4:$I$203,$I189))</f>
        <v/>
      </c>
    </row>
    <row r="190">
      <c r="A190" s="16" t="n"/>
      <c r="B190" s="16" t="n"/>
      <c r="C190" s="16" t="n"/>
      <c r="D190" s="16" t="n"/>
      <c r="E190" s="14" t="n"/>
      <c r="F190" s="14">
        <f>IF($E190="","",WORKDAY($E190,-1,設定!$E$4:$E$40))</f>
        <v/>
      </c>
      <c r="G190" s="14">
        <f>IF($E190="","",$E190+1)</f>
        <v/>
      </c>
      <c r="H190" s="15">
        <f>IF($E190="","",($E190-(WEEKDAY($E190,2)-1)-14)+17/24)</f>
        <v/>
      </c>
      <c r="I190" s="14">
        <f>IF($E190="","",$E190-(WEEKDAY($E190,2)-1))</f>
        <v/>
      </c>
      <c r="J190" s="16">
        <f>IF($E190="","",COUNTIF($I$4:$I$203,$I190))</f>
        <v/>
      </c>
    </row>
    <row r="191">
      <c r="A191" s="16" t="n"/>
      <c r="B191" s="16" t="n"/>
      <c r="C191" s="16" t="n"/>
      <c r="D191" s="16" t="n"/>
      <c r="E191" s="14" t="n"/>
      <c r="F191" s="14">
        <f>IF($E191="","",WORKDAY($E191,-1,設定!$E$4:$E$40))</f>
        <v/>
      </c>
      <c r="G191" s="14">
        <f>IF($E191="","",$E191+1)</f>
        <v/>
      </c>
      <c r="H191" s="15">
        <f>IF($E191="","",($E191-(WEEKDAY($E191,2)-1)-14)+17/24)</f>
        <v/>
      </c>
      <c r="I191" s="14">
        <f>IF($E191="","",$E191-(WEEKDAY($E191,2)-1))</f>
        <v/>
      </c>
      <c r="J191" s="16">
        <f>IF($E191="","",COUNTIF($I$4:$I$203,$I191))</f>
        <v/>
      </c>
    </row>
    <row r="192">
      <c r="A192" s="16" t="n"/>
      <c r="B192" s="16" t="n"/>
      <c r="C192" s="16" t="n"/>
      <c r="D192" s="16" t="n"/>
      <c r="E192" s="14" t="n"/>
      <c r="F192" s="14">
        <f>IF($E192="","",WORKDAY($E192,-1,設定!$E$4:$E$40))</f>
        <v/>
      </c>
      <c r="G192" s="14">
        <f>IF($E192="","",$E192+1)</f>
        <v/>
      </c>
      <c r="H192" s="15">
        <f>IF($E192="","",($E192-(WEEKDAY($E192,2)-1)-14)+17/24)</f>
        <v/>
      </c>
      <c r="I192" s="14">
        <f>IF($E192="","",$E192-(WEEKDAY($E192,2)-1))</f>
        <v/>
      </c>
      <c r="J192" s="16">
        <f>IF($E192="","",COUNTIF($I$4:$I$203,$I192))</f>
        <v/>
      </c>
    </row>
    <row r="193">
      <c r="A193" s="16" t="n"/>
      <c r="B193" s="16" t="n"/>
      <c r="C193" s="16" t="n"/>
      <c r="D193" s="16" t="n"/>
      <c r="E193" s="14" t="n"/>
      <c r="F193" s="14">
        <f>IF($E193="","",WORKDAY($E193,-1,設定!$E$4:$E$40))</f>
        <v/>
      </c>
      <c r="G193" s="14">
        <f>IF($E193="","",$E193+1)</f>
        <v/>
      </c>
      <c r="H193" s="15">
        <f>IF($E193="","",($E193-(WEEKDAY($E193,2)-1)-14)+17/24)</f>
        <v/>
      </c>
      <c r="I193" s="14">
        <f>IF($E193="","",$E193-(WEEKDAY($E193,2)-1))</f>
        <v/>
      </c>
      <c r="J193" s="16">
        <f>IF($E193="","",COUNTIF($I$4:$I$203,$I193))</f>
        <v/>
      </c>
    </row>
    <row r="194">
      <c r="A194" s="16" t="n"/>
      <c r="B194" s="16" t="n"/>
      <c r="C194" s="16" t="n"/>
      <c r="D194" s="16" t="n"/>
      <c r="E194" s="14" t="n"/>
      <c r="F194" s="14">
        <f>IF($E194="","",WORKDAY($E194,-1,設定!$E$4:$E$40))</f>
        <v/>
      </c>
      <c r="G194" s="14">
        <f>IF($E194="","",$E194+1)</f>
        <v/>
      </c>
      <c r="H194" s="15">
        <f>IF($E194="","",($E194-(WEEKDAY($E194,2)-1)-14)+17/24)</f>
        <v/>
      </c>
      <c r="I194" s="14">
        <f>IF($E194="","",$E194-(WEEKDAY($E194,2)-1))</f>
        <v/>
      </c>
      <c r="J194" s="16">
        <f>IF($E194="","",COUNTIF($I$4:$I$203,$I194))</f>
        <v/>
      </c>
    </row>
    <row r="195">
      <c r="A195" s="16" t="n"/>
      <c r="B195" s="16" t="n"/>
      <c r="C195" s="16" t="n"/>
      <c r="D195" s="16" t="n"/>
      <c r="E195" s="14" t="n"/>
      <c r="F195" s="14">
        <f>IF($E195="","",WORKDAY($E195,-1,設定!$E$4:$E$40))</f>
        <v/>
      </c>
      <c r="G195" s="14">
        <f>IF($E195="","",$E195+1)</f>
        <v/>
      </c>
      <c r="H195" s="15">
        <f>IF($E195="","",($E195-(WEEKDAY($E195,2)-1)-14)+17/24)</f>
        <v/>
      </c>
      <c r="I195" s="14">
        <f>IF($E195="","",$E195-(WEEKDAY($E195,2)-1))</f>
        <v/>
      </c>
      <c r="J195" s="16">
        <f>IF($E195="","",COUNTIF($I$4:$I$203,$I195))</f>
        <v/>
      </c>
    </row>
    <row r="196">
      <c r="A196" s="16" t="n"/>
      <c r="B196" s="16" t="n"/>
      <c r="C196" s="16" t="n"/>
      <c r="D196" s="16" t="n"/>
      <c r="E196" s="14" t="n"/>
      <c r="F196" s="14">
        <f>IF($E196="","",WORKDAY($E196,-1,設定!$E$4:$E$40))</f>
        <v/>
      </c>
      <c r="G196" s="14">
        <f>IF($E196="","",$E196+1)</f>
        <v/>
      </c>
      <c r="H196" s="15">
        <f>IF($E196="","",($E196-(WEEKDAY($E196,2)-1)-14)+17/24)</f>
        <v/>
      </c>
      <c r="I196" s="14">
        <f>IF($E196="","",$E196-(WEEKDAY($E196,2)-1))</f>
        <v/>
      </c>
      <c r="J196" s="16">
        <f>IF($E196="","",COUNTIF($I$4:$I$203,$I196))</f>
        <v/>
      </c>
    </row>
    <row r="197">
      <c r="A197" s="16" t="n"/>
      <c r="B197" s="16" t="n"/>
      <c r="C197" s="16" t="n"/>
      <c r="D197" s="16" t="n"/>
      <c r="E197" s="14" t="n"/>
      <c r="F197" s="14">
        <f>IF($E197="","",WORKDAY($E197,-1,設定!$E$4:$E$40))</f>
        <v/>
      </c>
      <c r="G197" s="14">
        <f>IF($E197="","",$E197+1)</f>
        <v/>
      </c>
      <c r="H197" s="15">
        <f>IF($E197="","",($E197-(WEEKDAY($E197,2)-1)-14)+17/24)</f>
        <v/>
      </c>
      <c r="I197" s="14">
        <f>IF($E197="","",$E197-(WEEKDAY($E197,2)-1))</f>
        <v/>
      </c>
      <c r="J197" s="16">
        <f>IF($E197="","",COUNTIF($I$4:$I$203,$I197))</f>
        <v/>
      </c>
    </row>
    <row r="198">
      <c r="A198" s="16" t="n"/>
      <c r="B198" s="16" t="n"/>
      <c r="C198" s="16" t="n"/>
      <c r="D198" s="16" t="n"/>
      <c r="E198" s="14" t="n"/>
      <c r="F198" s="14">
        <f>IF($E198="","",WORKDAY($E198,-1,設定!$E$4:$E$40))</f>
        <v/>
      </c>
      <c r="G198" s="14">
        <f>IF($E198="","",$E198+1)</f>
        <v/>
      </c>
      <c r="H198" s="15">
        <f>IF($E198="","",($E198-(WEEKDAY($E198,2)-1)-14)+17/24)</f>
        <v/>
      </c>
      <c r="I198" s="14">
        <f>IF($E198="","",$E198-(WEEKDAY($E198,2)-1))</f>
        <v/>
      </c>
      <c r="J198" s="16">
        <f>IF($E198="","",COUNTIF($I$4:$I$203,$I198))</f>
        <v/>
      </c>
    </row>
    <row r="199">
      <c r="A199" s="16" t="n"/>
      <c r="B199" s="16" t="n"/>
      <c r="C199" s="16" t="n"/>
      <c r="D199" s="16" t="n"/>
      <c r="E199" s="14" t="n"/>
      <c r="F199" s="14">
        <f>IF($E199="","",WORKDAY($E199,-1,設定!$E$4:$E$40))</f>
        <v/>
      </c>
      <c r="G199" s="14">
        <f>IF($E199="","",$E199+1)</f>
        <v/>
      </c>
      <c r="H199" s="15">
        <f>IF($E199="","",($E199-(WEEKDAY($E199,2)-1)-14)+17/24)</f>
        <v/>
      </c>
      <c r="I199" s="14">
        <f>IF($E199="","",$E199-(WEEKDAY($E199,2)-1))</f>
        <v/>
      </c>
      <c r="J199" s="16">
        <f>IF($E199="","",COUNTIF($I$4:$I$203,$I199))</f>
        <v/>
      </c>
    </row>
    <row r="200">
      <c r="A200" s="16" t="n"/>
      <c r="B200" s="16" t="n"/>
      <c r="C200" s="16" t="n"/>
      <c r="D200" s="16" t="n"/>
      <c r="E200" s="14" t="n"/>
      <c r="F200" s="14">
        <f>IF($E200="","",WORKDAY($E200,-1,設定!$E$4:$E$40))</f>
        <v/>
      </c>
      <c r="G200" s="14">
        <f>IF($E200="","",$E200+1)</f>
        <v/>
      </c>
      <c r="H200" s="15">
        <f>IF($E200="","",($E200-(WEEKDAY($E200,2)-1)-14)+17/24)</f>
        <v/>
      </c>
      <c r="I200" s="14">
        <f>IF($E200="","",$E200-(WEEKDAY($E200,2)-1))</f>
        <v/>
      </c>
      <c r="J200" s="16">
        <f>IF($E200="","",COUNTIF($I$4:$I$203,$I200))</f>
        <v/>
      </c>
    </row>
    <row r="201">
      <c r="A201" s="16" t="n"/>
      <c r="B201" s="16" t="n"/>
      <c r="C201" s="16" t="n"/>
      <c r="D201" s="16" t="n"/>
      <c r="E201" s="14" t="n"/>
      <c r="F201" s="14">
        <f>IF($E201="","",WORKDAY($E201,-1,設定!$E$4:$E$40))</f>
        <v/>
      </c>
      <c r="G201" s="14">
        <f>IF($E201="","",$E201+1)</f>
        <v/>
      </c>
      <c r="H201" s="15">
        <f>IF($E201="","",($E201-(WEEKDAY($E201,2)-1)-14)+17/24)</f>
        <v/>
      </c>
      <c r="I201" s="14">
        <f>IF($E201="","",$E201-(WEEKDAY($E201,2)-1))</f>
        <v/>
      </c>
      <c r="J201" s="16">
        <f>IF($E201="","",COUNTIF($I$4:$I$203,$I201))</f>
        <v/>
      </c>
    </row>
    <row r="202">
      <c r="A202" s="16" t="n"/>
      <c r="B202" s="16" t="n"/>
      <c r="C202" s="16" t="n"/>
      <c r="D202" s="16" t="n"/>
      <c r="E202" s="14" t="n"/>
      <c r="F202" s="14">
        <f>IF($E202="","",WORKDAY($E202,-1,設定!$E$4:$E$40))</f>
        <v/>
      </c>
      <c r="G202" s="14">
        <f>IF($E202="","",$E202+1)</f>
        <v/>
      </c>
      <c r="H202" s="15">
        <f>IF($E202="","",($E202-(WEEKDAY($E202,2)-1)-14)+17/24)</f>
        <v/>
      </c>
      <c r="I202" s="14">
        <f>IF($E202="","",$E202-(WEEKDAY($E202,2)-1))</f>
        <v/>
      </c>
      <c r="J202" s="16">
        <f>IF($E202="","",COUNTIF($I$4:$I$203,$I202))</f>
        <v/>
      </c>
    </row>
    <row r="203">
      <c r="A203" s="16" t="n"/>
      <c r="B203" s="16" t="n"/>
      <c r="C203" s="16" t="n"/>
      <c r="D203" s="16" t="n"/>
      <c r="E203" s="14" t="n"/>
      <c r="F203" s="14">
        <f>IF($E203="","",WORKDAY($E203,-1,設定!$E$4:$E$40))</f>
        <v/>
      </c>
      <c r="G203" s="14">
        <f>IF($E203="","",$E203+1)</f>
        <v/>
      </c>
      <c r="H203" s="15">
        <f>IF($E203="","",($E203-(WEEKDAY($E203,2)-1)-14)+17/24)</f>
        <v/>
      </c>
      <c r="I203" s="14">
        <f>IF($E203="","",$E203-(WEEKDAY($E203,2)-1))</f>
        <v/>
      </c>
      <c r="J203" s="16">
        <f>IF($E203="","",COUNTIF($I$4:$I$203,$I203))</f>
        <v/>
      </c>
    </row>
    <row r="205">
      <c r="A205" s="2" t="inlineStr">
        <is>
          <t>※ 患者ID・患者名・薬剤・サイクル・治療日 を入力。入院日/退院日/発注締切/治療週/件数は自動計算。</t>
        </is>
      </c>
    </row>
    <row r="206">
      <c r="A206" s="2" t="inlineStr">
        <is>
          <t>※ 例の行（灰色）は削除してお使いください。</t>
        </is>
      </c>
    </row>
  </sheetData>
  <conditionalFormatting sqref="A4:J203">
    <cfRule type="expression" priority="1" dxfId="0">
      <formula>AND($E4&lt;&gt;"",$J4&gt;1)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2" max="2"/>
    <col width="12" customWidth="1" min="3" max="3"/>
    <col width="13" customWidth="1" min="5" max="5"/>
    <col width="32" customWidth="1" min="6" max="6"/>
  </cols>
  <sheetData>
    <row r="1">
      <c r="A1" s="11" t="inlineStr">
        <is>
          <t>設定（定数・祝日）</t>
        </is>
      </c>
    </row>
    <row r="3">
      <c r="B3" s="19" t="inlineStr">
        <is>
          <t>薬剤</t>
        </is>
      </c>
      <c r="C3" s="19" t="inlineStr">
        <is>
          <t>治療間隔(日)</t>
        </is>
      </c>
      <c r="E3" s="19" t="inlineStr">
        <is>
          <t>祝日リスト（入院日計算で除外）</t>
        </is>
      </c>
      <c r="F3" s="20" t="inlineStr">
        <is>
          <t>※祝日は必要に応じ確認・追記してください</t>
        </is>
      </c>
    </row>
    <row r="4">
      <c r="B4" s="21" t="inlineStr">
        <is>
          <t>プルヴィクト</t>
        </is>
      </c>
      <c r="C4" s="4" t="n">
        <v>42</v>
      </c>
      <c r="E4" s="14" t="n">
        <v>46023</v>
      </c>
    </row>
    <row r="5">
      <c r="B5" s="21" t="inlineStr">
        <is>
          <t>ルタテラ</t>
        </is>
      </c>
      <c r="C5" s="4" t="n">
        <v>56</v>
      </c>
      <c r="E5" s="14" t="n">
        <v>46034</v>
      </c>
    </row>
    <row r="6">
      <c r="E6" s="14" t="n">
        <v>46064</v>
      </c>
    </row>
    <row r="7">
      <c r="B7" s="2" t="inlineStr">
        <is>
          <t>治療間隔：プルヴィクト6週(42日)／ルタテラ8週(56日)</t>
        </is>
      </c>
      <c r="E7" s="14" t="n">
        <v>46076</v>
      </c>
    </row>
    <row r="8">
      <c r="E8" s="14" t="n">
        <v>46101</v>
      </c>
    </row>
    <row r="9">
      <c r="E9" s="14" t="n">
        <v>46141</v>
      </c>
    </row>
    <row r="10">
      <c r="E10" s="14" t="n">
        <v>46145</v>
      </c>
    </row>
    <row r="11">
      <c r="E11" s="14" t="n">
        <v>46146</v>
      </c>
    </row>
    <row r="12">
      <c r="E12" s="14" t="n">
        <v>46147</v>
      </c>
    </row>
    <row r="13">
      <c r="E13" s="14" t="n">
        <v>46148</v>
      </c>
    </row>
    <row r="14">
      <c r="E14" s="14" t="n">
        <v>46223</v>
      </c>
    </row>
    <row r="15">
      <c r="E15" s="14" t="n">
        <v>46245</v>
      </c>
    </row>
    <row r="16">
      <c r="E16" s="14" t="n">
        <v>46286</v>
      </c>
    </row>
    <row r="17">
      <c r="E17" s="14" t="n">
        <v>46287</v>
      </c>
    </row>
    <row r="18">
      <c r="E18" s="14" t="n">
        <v>46288</v>
      </c>
    </row>
    <row r="19">
      <c r="E19" s="14" t="n">
        <v>46307</v>
      </c>
    </row>
    <row r="20">
      <c r="E20" s="14" t="n">
        <v>46329</v>
      </c>
    </row>
    <row r="21">
      <c r="E21" s="14" t="n">
        <v>46349</v>
      </c>
    </row>
    <row r="22">
      <c r="E22" s="14" t="n">
        <v>46388</v>
      </c>
    </row>
    <row r="23">
      <c r="E23" s="14" t="n">
        <v>46398</v>
      </c>
    </row>
    <row r="24">
      <c r="E24" s="14" t="n">
        <v>46429</v>
      </c>
    </row>
    <row r="25">
      <c r="E25" s="14" t="n">
        <v>46441</v>
      </c>
    </row>
    <row r="26">
      <c r="E26" s="14" t="n">
        <v>46467</v>
      </c>
    </row>
    <row r="27">
      <c r="E27" s="14" t="n">
        <v>46468</v>
      </c>
    </row>
    <row r="28">
      <c r="E28" s="14" t="n">
        <v>46506</v>
      </c>
    </row>
    <row r="29">
      <c r="E29" s="14" t="n">
        <v>46510</v>
      </c>
    </row>
    <row r="30">
      <c r="E30" s="14" t="n">
        <v>46511</v>
      </c>
    </row>
    <row r="31">
      <c r="E31" s="14" t="n">
        <v>46512</v>
      </c>
    </row>
    <row r="32">
      <c r="E32" s="14" t="n">
        <v>46587</v>
      </c>
    </row>
    <row r="33">
      <c r="E33" s="14" t="n">
        <v>46610</v>
      </c>
    </row>
    <row r="34">
      <c r="E34" s="14" t="n">
        <v>46650</v>
      </c>
    </row>
    <row r="35">
      <c r="E35" s="14" t="n">
        <v>46653</v>
      </c>
    </row>
    <row r="36">
      <c r="E36" s="14" t="n">
        <v>46671</v>
      </c>
    </row>
    <row r="37">
      <c r="E37" s="14" t="n">
        <v>46694</v>
      </c>
    </row>
    <row r="38">
      <c r="E38" s="14" t="n">
        <v>46714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22" t="inlineStr">
        <is>
          <t>Lu-177 治療スケジュール（Excel版）― 使い方</t>
        </is>
      </c>
    </row>
    <row r="2">
      <c r="A2" s="23" t="inlineStr"/>
    </row>
    <row r="3">
      <c r="A3" s="24" t="inlineStr">
        <is>
          <t>【これは何？】</t>
        </is>
      </c>
    </row>
    <row r="4">
      <c r="A4" s="23" t="inlineStr">
        <is>
          <t>正式なアプリ導入までの暫定運用として、治療日程を管理するExcelです。</t>
        </is>
      </c>
    </row>
    <row r="5">
      <c r="A5" s="23" t="inlineStr"/>
    </row>
    <row r="6">
      <c r="A6" s="24" t="inlineStr">
        <is>
          <t>【使う順番】</t>
        </is>
      </c>
    </row>
    <row r="7">
      <c r="A7" s="23" t="inlineStr">
        <is>
          <t>1. 「予定作成」シートで、患者ごとに 薬剤・第1治療日・サイクル数 を入力 → 全サイクルの日程が出ます。</t>
        </is>
      </c>
    </row>
    <row r="8">
      <c r="A8" s="23" t="inlineStr">
        <is>
          <t>2. 出た治療日を「治療予定」シートに転記（患者ID・薬剤・サイクル・治療日）。入院日/退院日/発注締切は自動。</t>
        </is>
      </c>
    </row>
    <row r="9">
      <c r="A9" s="23" t="inlineStr">
        <is>
          <t>3. 「治療予定」で、同じ週に2件以上入ると行が赤くなります（週1件ルールの目安）。重なったら日程をずらします。</t>
        </is>
      </c>
    </row>
    <row r="10">
      <c r="A10" s="23" t="inlineStr"/>
    </row>
    <row r="11">
      <c r="A11" s="24" t="inlineStr">
        <is>
          <t>【自動計算のルール】</t>
        </is>
      </c>
    </row>
    <row r="12">
      <c r="A12" s="23" t="inlineStr">
        <is>
          <t>・治療間隔：プルヴィクト42日／ルタテラ56日（設定シート）</t>
        </is>
      </c>
    </row>
    <row r="13">
      <c r="A13" s="23" t="inlineStr">
        <is>
          <t>・入院日：治療日の前営業日（土日・祝日を除く）／退院日：治療日の翌日</t>
        </is>
      </c>
    </row>
    <row r="14">
      <c r="A14" s="23" t="inlineStr">
        <is>
          <t>・発注締切：治療日の週の月曜の2週間前の月曜 17:00</t>
        </is>
      </c>
    </row>
    <row r="15">
      <c r="A15" s="23" t="inlineStr"/>
    </row>
    <row r="16">
      <c r="A16" s="25" t="inlineStr">
        <is>
          <t>【注意】</t>
        </is>
      </c>
    </row>
    <row r="17">
      <c r="A17" s="26" t="inlineStr">
        <is>
          <t>重複回避や祝日週の除外は自動化していません（Excelの限界のため）。赤い警告を見て手作業で調整してください。</t>
        </is>
      </c>
    </row>
    <row r="18">
      <c r="A18" s="23" t="inlineStr">
        <is>
          <t>祝日リストは設定シートにあります。年度が変わったら確認・追記してください。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2026-08-31T02:57:51Z</dcterms:created>
  <dcterms:modified xsi:type="dcterms:W3CDTF">2026-08-31T02:57:52Z</dcterms:modified>
</cp:coreProperties>
</file>